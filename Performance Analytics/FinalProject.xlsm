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tid\OneDrive\Desktop\Perforamnce Analytics\"/>
    </mc:Choice>
  </mc:AlternateContent>
  <xr:revisionPtr revIDLastSave="0" documentId="13_ncr:1_{5C69EB3B-7D48-41C6-9CD7-C82A198E41C9}" xr6:coauthVersionLast="47" xr6:coauthVersionMax="47" xr10:uidLastSave="{00000000-0000-0000-0000-000000000000}"/>
  <bookViews>
    <workbookView xWindow="-108" yWindow="-108" windowWidth="23256" windowHeight="13176" activeTab="1" xr2:uid="{C8A36150-AD95-4ED5-A53B-3B85F796C84F}"/>
  </bookViews>
  <sheets>
    <sheet name="Multiplier Input Oriented" sheetId="1" r:id="rId1"/>
    <sheet name="Multiplier Input Oriented Impro" sheetId="2" r:id="rId2"/>
    <sheet name="Multiplier - Output Oriented" sheetId="3" r:id="rId3"/>
    <sheet name="Envelopment Input Model Oriente" sheetId="5" r:id="rId4"/>
    <sheet name="Envelpoment Output Model Orient" sheetId="6" r:id="rId5"/>
    <sheet name="Super Efficiency Input Oriented" sheetId="8" r:id="rId6"/>
    <sheet name="Super Efficiency Output Oriente" sheetId="9" r:id="rId7"/>
  </sheets>
  <definedNames>
    <definedName name="solver_adj" localSheetId="3" hidden="1">'Envelopment Input Model Oriente'!$I$2:$I$26,'Envelopment Input Model Oriente'!$F$30</definedName>
    <definedName name="solver_adj" localSheetId="4" hidden="1">'Envelpoment Output Model Orient'!$I$2:$I$26,'Envelpoment Output Model Orient'!$F$30</definedName>
    <definedName name="solver_adj" localSheetId="2" hidden="1">'Multiplier - Output Oriented'!$B$29:$D$29,'Multiplier - Output Oriented'!$F$29:$G$29</definedName>
    <definedName name="solver_adj" localSheetId="0" hidden="1">'Multiplier Input Oriented'!$B$29:$D$29,'Multiplier Input Oriented'!$F$29:$G$29</definedName>
    <definedName name="solver_adj" localSheetId="1" hidden="1">'Multiplier Input Oriented Impro'!$G$29:$I$29,'Multiplier Input Oriented Impro'!$K$29:$L$29</definedName>
    <definedName name="solver_adj" localSheetId="5" hidden="1">'Super Efficiency Input Oriented'!$I$2:$I$26,'Super Efficiency Input Oriented'!$F$30</definedName>
    <definedName name="solver_adj" localSheetId="6" hidden="1">'Super Efficiency Output Oriente'!$I$2:$I$26,'Super Efficiency Output Oriente'!$F$30</definedName>
    <definedName name="solver_cvg" localSheetId="3" hidden="1">0.0001</definedName>
    <definedName name="solver_cvg" localSheetId="4" hidden="1">0.0001</definedName>
    <definedName name="solver_cvg" localSheetId="2" hidden="1">0.0001</definedName>
    <definedName name="solver_cvg" localSheetId="0" hidden="1">0.0001</definedName>
    <definedName name="solver_cvg" localSheetId="1" hidden="1">0.0001</definedName>
    <definedName name="solver_cvg" localSheetId="5" hidden="1">0.0001</definedName>
    <definedName name="solver_cvg" localSheetId="6" hidden="1">0.0001</definedName>
    <definedName name="solver_drv" localSheetId="3" hidden="1">2</definedName>
    <definedName name="solver_drv" localSheetId="4" hidden="1">2</definedName>
    <definedName name="solver_drv" localSheetId="2" hidden="1">2</definedName>
    <definedName name="solver_drv" localSheetId="0" hidden="1">2</definedName>
    <definedName name="solver_drv" localSheetId="1" hidden="1">2</definedName>
    <definedName name="solver_drv" localSheetId="5" hidden="1">2</definedName>
    <definedName name="solver_drv" localSheetId="6" hidden="1">2</definedName>
    <definedName name="solver_eng" localSheetId="3" hidden="1">2</definedName>
    <definedName name="solver_eng" localSheetId="4" hidden="1">2</definedName>
    <definedName name="solver_eng" localSheetId="2" hidden="1">2</definedName>
    <definedName name="solver_eng" localSheetId="0" hidden="1">2</definedName>
    <definedName name="solver_eng" localSheetId="1" hidden="1">2</definedName>
    <definedName name="solver_eng" localSheetId="5" hidden="1">2</definedName>
    <definedName name="solver_eng" localSheetId="6" hidden="1">2</definedName>
    <definedName name="solver_est" localSheetId="3" hidden="1">1</definedName>
    <definedName name="solver_est" localSheetId="4" hidden="1">1</definedName>
    <definedName name="solver_est" localSheetId="2" hidden="1">1</definedName>
    <definedName name="solver_est" localSheetId="0" hidden="1">1</definedName>
    <definedName name="solver_est" localSheetId="1" hidden="1">1</definedName>
    <definedName name="solver_est" localSheetId="5" hidden="1">1</definedName>
    <definedName name="solver_est" localSheetId="6" hidden="1">1</definedName>
    <definedName name="solver_itr" localSheetId="3" hidden="1">2147483647</definedName>
    <definedName name="solver_itr" localSheetId="4" hidden="1">2147483647</definedName>
    <definedName name="solver_itr" localSheetId="2" hidden="1">2147483647</definedName>
    <definedName name="solver_itr" localSheetId="0" hidden="1">2147483647</definedName>
    <definedName name="solver_itr" localSheetId="1" hidden="1">2147483647</definedName>
    <definedName name="solver_itr" localSheetId="5" hidden="1">2147483647</definedName>
    <definedName name="solver_itr" localSheetId="6" hidden="1">2147483647</definedName>
    <definedName name="solver_lhs1" localSheetId="3" hidden="1">'Envelopment Input Model Oriente'!$B$32:$B$34</definedName>
    <definedName name="solver_lhs1" localSheetId="4" hidden="1">'Envelpoment Output Model Orient'!$B$32:$B$34</definedName>
    <definedName name="solver_lhs1" localSheetId="2" hidden="1">'Multiplier - Output Oriented'!$B$34</definedName>
    <definedName name="solver_lhs1" localSheetId="0" hidden="1">'Multiplier Input Oriented'!$B$33</definedName>
    <definedName name="solver_lhs1" localSheetId="1" hidden="1">'Multiplier Input Oriented Impro'!$B$33</definedName>
    <definedName name="solver_lhs1" localSheetId="5" hidden="1">'Super Efficiency Input Oriented'!$B$32:$B$34</definedName>
    <definedName name="solver_lhs1" localSheetId="6" hidden="1">'Super Efficiency Output Oriente'!$B$32:$B$34</definedName>
    <definedName name="solver_lhs2" localSheetId="3" hidden="1">'Envelopment Input Model Oriente'!$B$35:$B$36</definedName>
    <definedName name="solver_lhs2" localSheetId="4" hidden="1">'Envelpoment Output Model Orient'!$B$35:$B$36</definedName>
    <definedName name="solver_lhs2" localSheetId="2" hidden="1">'Multiplier - Output Oriented'!$J$2:$J$26</definedName>
    <definedName name="solver_lhs2" localSheetId="0" hidden="1">'Multiplier Input Oriented'!$J$2:$J$26</definedName>
    <definedName name="solver_lhs2" localSheetId="1" hidden="1">'Multiplier Input Oriented Impro'!$O$2:$O$26</definedName>
    <definedName name="solver_lhs2" localSheetId="5" hidden="1">'Super Efficiency Input Oriented'!$B$35:$B$36</definedName>
    <definedName name="solver_lhs2" localSheetId="6" hidden="1">'Super Efficiency Output Oriente'!$B$35:$B$36</definedName>
    <definedName name="solver_lhs3" localSheetId="3" hidden="1">'Envelopment Input Model Oriente'!$I$29</definedName>
    <definedName name="solver_lhs3" localSheetId="4" hidden="1">'Envelpoment Output Model Orient'!$I$29</definedName>
    <definedName name="solver_lhs3" localSheetId="5" hidden="1">'Super Efficiency Input Oriented'!$B$37</definedName>
    <definedName name="solver_lhs3" localSheetId="6" hidden="1">'Super Efficiency Output Oriente'!$B$37</definedName>
    <definedName name="solver_lhs4" localSheetId="5" hidden="1">'Super Efficiency Input Oriented'!$I$29</definedName>
    <definedName name="solver_lhs4" localSheetId="6" hidden="1">'Super Efficiency Output Oriente'!$I$29</definedName>
    <definedName name="solver_mip" localSheetId="3" hidden="1">2147483647</definedName>
    <definedName name="solver_mip" localSheetId="4" hidden="1">2147483647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ip" localSheetId="5" hidden="1">2147483647</definedName>
    <definedName name="solver_mip" localSheetId="6" hidden="1">2147483647</definedName>
    <definedName name="solver_mni" localSheetId="3" hidden="1">30</definedName>
    <definedName name="solver_mni" localSheetId="4" hidden="1">30</definedName>
    <definedName name="solver_mni" localSheetId="2" hidden="1">30</definedName>
    <definedName name="solver_mni" localSheetId="0" hidden="1">30</definedName>
    <definedName name="solver_mni" localSheetId="1" hidden="1">30</definedName>
    <definedName name="solver_mni" localSheetId="5" hidden="1">30</definedName>
    <definedName name="solver_mni" localSheetId="6" hidden="1">30</definedName>
    <definedName name="solver_mrt" localSheetId="3" hidden="1">0.075</definedName>
    <definedName name="solver_mrt" localSheetId="4" hidden="1">0.075</definedName>
    <definedName name="solver_mrt" localSheetId="2" hidden="1">0.075</definedName>
    <definedName name="solver_mrt" localSheetId="0" hidden="1">0.075</definedName>
    <definedName name="solver_mrt" localSheetId="1" hidden="1">0.075</definedName>
    <definedName name="solver_mrt" localSheetId="5" hidden="1">0.075</definedName>
    <definedName name="solver_mrt" localSheetId="6" hidden="1">0.075</definedName>
    <definedName name="solver_msl" localSheetId="3" hidden="1">2</definedName>
    <definedName name="solver_msl" localSheetId="4" hidden="1">2</definedName>
    <definedName name="solver_msl" localSheetId="2" hidden="1">2</definedName>
    <definedName name="solver_msl" localSheetId="0" hidden="1">2</definedName>
    <definedName name="solver_msl" localSheetId="1" hidden="1">2</definedName>
    <definedName name="solver_msl" localSheetId="5" hidden="1">2</definedName>
    <definedName name="solver_msl" localSheetId="6" hidden="1">2</definedName>
    <definedName name="solver_neg" localSheetId="3" hidden="1">1</definedName>
    <definedName name="solver_neg" localSheetId="4" hidden="1">1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eg" localSheetId="5" hidden="1">1</definedName>
    <definedName name="solver_neg" localSheetId="6" hidden="1">1</definedName>
    <definedName name="solver_nod" localSheetId="3" hidden="1">2147483647</definedName>
    <definedName name="solver_nod" localSheetId="4" hidden="1">2147483647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od" localSheetId="5" hidden="1">2147483647</definedName>
    <definedName name="solver_nod" localSheetId="6" hidden="1">2147483647</definedName>
    <definedName name="solver_num" localSheetId="3" hidden="1">3</definedName>
    <definedName name="solver_num" localSheetId="4" hidden="1">3</definedName>
    <definedName name="solver_num" localSheetId="2" hidden="1">2</definedName>
    <definedName name="solver_num" localSheetId="0" hidden="1">2</definedName>
    <definedName name="solver_num" localSheetId="1" hidden="1">2</definedName>
    <definedName name="solver_num" localSheetId="5" hidden="1">4</definedName>
    <definedName name="solver_num" localSheetId="6" hidden="1">4</definedName>
    <definedName name="solver_nwt" localSheetId="3" hidden="1">1</definedName>
    <definedName name="solver_nwt" localSheetId="4" hidden="1">1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nwt" localSheetId="5" hidden="1">1</definedName>
    <definedName name="solver_nwt" localSheetId="6" hidden="1">1</definedName>
    <definedName name="solver_opt" localSheetId="3" hidden="1">'Envelopment Input Model Oriente'!$F$30</definedName>
    <definedName name="solver_opt" localSheetId="4" hidden="1">'Envelpoment Output Model Orient'!$F$30</definedName>
    <definedName name="solver_opt" localSheetId="2" hidden="1">'Multiplier - Output Oriented'!$B$33</definedName>
    <definedName name="solver_opt" localSheetId="0" hidden="1">'Multiplier Input Oriented'!$B$34</definedName>
    <definedName name="solver_opt" localSheetId="1" hidden="1">'Multiplier Input Oriented Impro'!$B$34</definedName>
    <definedName name="solver_opt" localSheetId="5" hidden="1">'Super Efficiency Input Oriented'!$F$30</definedName>
    <definedName name="solver_opt" localSheetId="6" hidden="1">'Super Efficiency Output Oriente'!$F$30</definedName>
    <definedName name="solver_pre" localSheetId="3" hidden="1">0.000001</definedName>
    <definedName name="solver_pre" localSheetId="4" hidden="1">0.000001</definedName>
    <definedName name="solver_pre" localSheetId="2" hidden="1">0.000001</definedName>
    <definedName name="solver_pre" localSheetId="0" hidden="1">0.000001</definedName>
    <definedName name="solver_pre" localSheetId="1" hidden="1">0.000001</definedName>
    <definedName name="solver_pre" localSheetId="5" hidden="1">0.000001</definedName>
    <definedName name="solver_pre" localSheetId="6" hidden="1">0.000001</definedName>
    <definedName name="solver_rbv" localSheetId="3" hidden="1">2</definedName>
    <definedName name="solver_rbv" localSheetId="4" hidden="1">2</definedName>
    <definedName name="solver_rbv" localSheetId="2" hidden="1">2</definedName>
    <definedName name="solver_rbv" localSheetId="0" hidden="1">2</definedName>
    <definedName name="solver_rbv" localSheetId="1" hidden="1">2</definedName>
    <definedName name="solver_rbv" localSheetId="5" hidden="1">2</definedName>
    <definedName name="solver_rbv" localSheetId="6" hidden="1">2</definedName>
    <definedName name="solver_rel1" localSheetId="3" hidden="1">1</definedName>
    <definedName name="solver_rel1" localSheetId="4" hidden="1">1</definedName>
    <definedName name="solver_rel1" localSheetId="2" hidden="1">2</definedName>
    <definedName name="solver_rel1" localSheetId="0" hidden="1">2</definedName>
    <definedName name="solver_rel1" localSheetId="1" hidden="1">2</definedName>
    <definedName name="solver_rel1" localSheetId="5" hidden="1">1</definedName>
    <definedName name="solver_rel1" localSheetId="6" hidden="1">1</definedName>
    <definedName name="solver_rel2" localSheetId="3" hidden="1">3</definedName>
    <definedName name="solver_rel2" localSheetId="4" hidden="1">3</definedName>
    <definedName name="solver_rel2" localSheetId="2" hidden="1">3</definedName>
    <definedName name="solver_rel2" localSheetId="0" hidden="1">1</definedName>
    <definedName name="solver_rel2" localSheetId="1" hidden="1">1</definedName>
    <definedName name="solver_rel2" localSheetId="5" hidden="1">3</definedName>
    <definedName name="solver_rel2" localSheetId="6" hidden="1">3</definedName>
    <definedName name="solver_rel3" localSheetId="3" hidden="1">2</definedName>
    <definedName name="solver_rel3" localSheetId="4" hidden="1">2</definedName>
    <definedName name="solver_rel3" localSheetId="5" hidden="1">2</definedName>
    <definedName name="solver_rel3" localSheetId="6" hidden="1">2</definedName>
    <definedName name="solver_rel4" localSheetId="5" hidden="1">2</definedName>
    <definedName name="solver_rel4" localSheetId="6" hidden="1">2</definedName>
    <definedName name="solver_rhs1" localSheetId="3" hidden="1">'Envelopment Input Model Oriente'!$D$32:$D$34</definedName>
    <definedName name="solver_rhs1" localSheetId="4" hidden="1">'Envelpoment Output Model Orient'!$D$32:$D$34</definedName>
    <definedName name="solver_rhs1" localSheetId="2" hidden="1">1</definedName>
    <definedName name="solver_rhs1" localSheetId="0" hidden="1">1</definedName>
    <definedName name="solver_rhs1" localSheetId="1" hidden="1">1</definedName>
    <definedName name="solver_rhs1" localSheetId="5" hidden="1">'Super Efficiency Input Oriented'!$D$32:$D$34</definedName>
    <definedName name="solver_rhs1" localSheetId="6" hidden="1">'Super Efficiency Output Oriente'!$D$32:$D$34</definedName>
    <definedName name="solver_rhs2" localSheetId="3" hidden="1">'Envelopment Input Model Oriente'!$D$35:$D$36</definedName>
    <definedName name="solver_rhs2" localSheetId="4" hidden="1">'Envelpoment Output Model Orient'!$D$35:$D$36</definedName>
    <definedName name="solver_rhs2" localSheetId="2" hidden="1">'Multiplier - Output Oriented'!$I$2:$I$26</definedName>
    <definedName name="solver_rhs2" localSheetId="0" hidden="1">'Multiplier Input Oriented'!$I$2:$I$26</definedName>
    <definedName name="solver_rhs2" localSheetId="1" hidden="1">'Multiplier Input Oriented Impro'!$N$2:$N$26</definedName>
    <definedName name="solver_rhs2" localSheetId="5" hidden="1">'Super Efficiency Input Oriented'!$D$35:$D$36</definedName>
    <definedName name="solver_rhs2" localSheetId="6" hidden="1">'Super Efficiency Output Oriente'!$D$35:$D$36</definedName>
    <definedName name="solver_rhs3" localSheetId="3" hidden="1">1</definedName>
    <definedName name="solver_rhs3" localSheetId="4" hidden="1">1</definedName>
    <definedName name="solver_rhs3" localSheetId="5" hidden="1">'Super Efficiency Input Oriented'!$D$37</definedName>
    <definedName name="solver_rhs3" localSheetId="6" hidden="1">'Super Efficiency Output Oriente'!$D$37</definedName>
    <definedName name="solver_rhs4" localSheetId="5" hidden="1">1</definedName>
    <definedName name="solver_rhs4" localSheetId="6" hidden="1">1</definedName>
    <definedName name="solver_rlx" localSheetId="3" hidden="1">2</definedName>
    <definedName name="solver_rlx" localSheetId="4" hidden="1">2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lx" localSheetId="5" hidden="1">2</definedName>
    <definedName name="solver_rlx" localSheetId="6" hidden="1">2</definedName>
    <definedName name="solver_rsd" localSheetId="3" hidden="1">0</definedName>
    <definedName name="solver_rsd" localSheetId="4" hidden="1">0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rsd" localSheetId="5" hidden="1">0</definedName>
    <definedName name="solver_rsd" localSheetId="6" hidden="1">0</definedName>
    <definedName name="solver_scl" localSheetId="3" hidden="1">2</definedName>
    <definedName name="solver_scl" localSheetId="4" hidden="1">2</definedName>
    <definedName name="solver_scl" localSheetId="2" hidden="1">2</definedName>
    <definedName name="solver_scl" localSheetId="0" hidden="1">2</definedName>
    <definedName name="solver_scl" localSheetId="1" hidden="1">2</definedName>
    <definedName name="solver_scl" localSheetId="5" hidden="1">2</definedName>
    <definedName name="solver_scl" localSheetId="6" hidden="1">2</definedName>
    <definedName name="solver_sho" localSheetId="3" hidden="1">2</definedName>
    <definedName name="solver_sho" localSheetId="4" hidden="1">2</definedName>
    <definedName name="solver_sho" localSheetId="2" hidden="1">2</definedName>
    <definedName name="solver_sho" localSheetId="0" hidden="1">2</definedName>
    <definedName name="solver_sho" localSheetId="1" hidden="1">2</definedName>
    <definedName name="solver_sho" localSheetId="5" hidden="1">2</definedName>
    <definedName name="solver_sho" localSheetId="6" hidden="1">2</definedName>
    <definedName name="solver_ssz" localSheetId="3" hidden="1">100</definedName>
    <definedName name="solver_ssz" localSheetId="4" hidden="1">100</definedName>
    <definedName name="solver_ssz" localSheetId="2" hidden="1">100</definedName>
    <definedName name="solver_ssz" localSheetId="0" hidden="1">100</definedName>
    <definedName name="solver_ssz" localSheetId="1" hidden="1">100</definedName>
    <definedName name="solver_ssz" localSheetId="5" hidden="1">100</definedName>
    <definedName name="solver_ssz" localSheetId="6" hidden="1">100</definedName>
    <definedName name="solver_tim" localSheetId="3" hidden="1">2147483647</definedName>
    <definedName name="solver_tim" localSheetId="4" hidden="1">2147483647</definedName>
    <definedName name="solver_tim" localSheetId="2" hidden="1">2147483647</definedName>
    <definedName name="solver_tim" localSheetId="0" hidden="1">2147483647</definedName>
    <definedName name="solver_tim" localSheetId="1" hidden="1">2147483647</definedName>
    <definedName name="solver_tim" localSheetId="5" hidden="1">2147483647</definedName>
    <definedName name="solver_tim" localSheetId="6" hidden="1">2147483647</definedName>
    <definedName name="solver_tol" localSheetId="3" hidden="1">0.01</definedName>
    <definedName name="solver_tol" localSheetId="4" hidden="1">0.01</definedName>
    <definedName name="solver_tol" localSheetId="2" hidden="1">0.01</definedName>
    <definedName name="solver_tol" localSheetId="0" hidden="1">0.01</definedName>
    <definedName name="solver_tol" localSheetId="1" hidden="1">0.01</definedName>
    <definedName name="solver_tol" localSheetId="5" hidden="1">0.01</definedName>
    <definedName name="solver_tol" localSheetId="6" hidden="1">0.01</definedName>
    <definedName name="solver_typ" localSheetId="3" hidden="1">2</definedName>
    <definedName name="solver_typ" localSheetId="4" hidden="1">1</definedName>
    <definedName name="solver_typ" localSheetId="2" hidden="1">2</definedName>
    <definedName name="solver_typ" localSheetId="0" hidden="1">1</definedName>
    <definedName name="solver_typ" localSheetId="1" hidden="1">1</definedName>
    <definedName name="solver_typ" localSheetId="5" hidden="1">2</definedName>
    <definedName name="solver_typ" localSheetId="6" hidden="1">1</definedName>
    <definedName name="solver_val" localSheetId="3" hidden="1">0</definedName>
    <definedName name="solver_val" localSheetId="4" hidden="1">0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al" localSheetId="5" hidden="1">0</definedName>
    <definedName name="solver_val" localSheetId="6" hidden="1">0</definedName>
    <definedName name="solver_ver" localSheetId="3" hidden="1">3</definedName>
    <definedName name="solver_ver" localSheetId="4" hidden="1">3</definedName>
    <definedName name="solver_ver" localSheetId="2" hidden="1">3</definedName>
    <definedName name="solver_ver" localSheetId="0" hidden="1">3</definedName>
    <definedName name="solver_ver" localSheetId="1" hidden="1">3</definedName>
    <definedName name="solver_ver" localSheetId="5" hidden="1">3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9" l="1" a="1"/>
  <c r="B37" i="9" s="1"/>
  <c r="D36" i="9" a="1"/>
  <c r="D36" i="9" s="1"/>
  <c r="B36" i="9"/>
  <c r="D35" i="9" a="1"/>
  <c r="D35" i="9" s="1"/>
  <c r="B35" i="9"/>
  <c r="D34" i="9" a="1"/>
  <c r="D34" i="9" s="1"/>
  <c r="B34" i="9"/>
  <c r="D33" i="9" a="1"/>
  <c r="D33" i="9" s="1"/>
  <c r="B33" i="9"/>
  <c r="D32" i="9" a="1"/>
  <c r="D32" i="9" s="1"/>
  <c r="B32" i="9"/>
  <c r="I29" i="9"/>
  <c r="B37" i="8" a="1"/>
  <c r="B37" i="8" s="1"/>
  <c r="D36" i="8" a="1"/>
  <c r="D36" i="8" s="1"/>
  <c r="B36" i="8"/>
  <c r="D35" i="8" a="1"/>
  <c r="D35" i="8" s="1"/>
  <c r="B35" i="8"/>
  <c r="D34" i="8" a="1"/>
  <c r="D34" i="8" s="1"/>
  <c r="B34" i="8"/>
  <c r="D33" i="8" a="1"/>
  <c r="D33" i="8" s="1"/>
  <c r="B33" i="8"/>
  <c r="D32" i="8" a="1"/>
  <c r="D32" i="8" s="1"/>
  <c r="B32" i="8"/>
  <c r="I29" i="8"/>
  <c r="D36" i="6" a="1"/>
  <c r="D36" i="6" s="1"/>
  <c r="D35" i="6" a="1"/>
  <c r="D35" i="6" s="1"/>
  <c r="D34" i="6" a="1"/>
  <c r="D34" i="6" s="1"/>
  <c r="D33" i="6" a="1"/>
  <c r="D33" i="6" s="1"/>
  <c r="D32" i="6" a="1"/>
  <c r="D32" i="6" s="1"/>
  <c r="B36" i="6"/>
  <c r="B35" i="6"/>
  <c r="B34" i="6"/>
  <c r="B33" i="6"/>
  <c r="B32" i="6"/>
  <c r="I29" i="6"/>
  <c r="I29" i="5"/>
  <c r="D36" i="5" l="1" a="1"/>
  <c r="D36" i="5" s="1"/>
  <c r="D35" i="5" a="1"/>
  <c r="D35" i="5" s="1"/>
  <c r="D34" i="5" a="1"/>
  <c r="D34" i="5" s="1"/>
  <c r="D33" i="5" a="1"/>
  <c r="D33" i="5" s="1"/>
  <c r="D32" i="5" a="1"/>
  <c r="D32" i="5" s="1"/>
  <c r="B36" i="5"/>
  <c r="B35" i="5"/>
  <c r="B34" i="5"/>
  <c r="B33" i="5"/>
  <c r="B32" i="5"/>
  <c r="J26" i="3" l="1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J5" i="3"/>
  <c r="I5" i="3"/>
  <c r="J4" i="3"/>
  <c r="I4" i="3"/>
  <c r="J3" i="3"/>
  <c r="I3" i="3"/>
  <c r="J2" i="3"/>
  <c r="I2" i="3"/>
  <c r="O2" i="2"/>
  <c r="N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" i="2"/>
  <c r="B33" i="3" l="1" a="1"/>
  <c r="B33" i="3" s="1"/>
  <c r="B34" i="3" a="1"/>
  <c r="B34" i="3" s="1"/>
  <c r="B33" i="2" a="1"/>
  <c r="B33" i="2" s="1"/>
  <c r="B34" i="2" a="1"/>
  <c r="B34" i="2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" i="1"/>
  <c r="B33" i="1" l="1" a="1"/>
  <c r="B33" i="1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" i="1"/>
  <c r="B34" i="1" l="1" a="1"/>
  <c r="B3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<sst xmlns="http://schemas.openxmlformats.org/spreadsheetml/2006/main" count="317" uniqueCount="62">
  <si>
    <t>Weight/Multiplier</t>
  </si>
  <si>
    <t>Bank Under Consideration</t>
  </si>
  <si>
    <t xml:space="preserve">Weighted Category I </t>
  </si>
  <si>
    <t>Weighted Category II</t>
  </si>
  <si>
    <t xml:space="preserve">Weighted category I </t>
  </si>
  <si>
    <t>Weighted Catgory II</t>
  </si>
  <si>
    <t xml:space="preserve">DEA Score </t>
  </si>
  <si>
    <t>NumberOfEmployees</t>
  </si>
  <si>
    <t>BranchBudget ($000)</t>
  </si>
  <si>
    <t>MarketingSpend ($000)</t>
  </si>
  <si>
    <t>LoansApproved (count)</t>
  </si>
  <si>
    <t>TotalLoanAmount ($000)</t>
  </si>
  <si>
    <t>NumberOfEmployees(New)</t>
  </si>
  <si>
    <t>BranchBudget ($000)(New)</t>
  </si>
  <si>
    <t>MarketingSpend ($000)(New)</t>
  </si>
  <si>
    <t>MetroBank</t>
  </si>
  <si>
    <t>CapitalBank</t>
  </si>
  <si>
    <t>CityBank</t>
  </si>
  <si>
    <t>HarborBank</t>
  </si>
  <si>
    <t>RiverBank</t>
  </si>
  <si>
    <t>CentralBank</t>
  </si>
  <si>
    <t>PacificBank</t>
  </si>
  <si>
    <t>SummitBank</t>
  </si>
  <si>
    <t>TownBank</t>
  </si>
  <si>
    <t>UnionBank1</t>
  </si>
  <si>
    <t>PeakBank</t>
  </si>
  <si>
    <t>ValleyBank</t>
  </si>
  <si>
    <t>LakeBank</t>
  </si>
  <si>
    <t>CoastalBank</t>
  </si>
  <si>
    <t>ForestBank</t>
  </si>
  <si>
    <t>HillBank</t>
  </si>
  <si>
    <t>WindyBank</t>
  </si>
  <si>
    <t>StarBank</t>
  </si>
  <si>
    <t>SunriseBank</t>
  </si>
  <si>
    <t>RainbowBank</t>
  </si>
  <si>
    <t>MoonBank</t>
  </si>
  <si>
    <t>CometBank</t>
  </si>
  <si>
    <t>PlanetBank</t>
  </si>
  <si>
    <t>GalaxyBank</t>
  </si>
  <si>
    <t>NovaBank</t>
  </si>
  <si>
    <t>DEA Score Improved</t>
  </si>
  <si>
    <t>Branch</t>
  </si>
  <si>
    <t>Weight Share</t>
  </si>
  <si>
    <t>Sum of Weight Shares</t>
  </si>
  <si>
    <t>DMU Under Evaluation</t>
  </si>
  <si>
    <t>Virtual DMU</t>
  </si>
  <si>
    <t>Number of Employees</t>
  </si>
  <si>
    <t>Branch Budget</t>
  </si>
  <si>
    <t>Marketing Spend</t>
  </si>
  <si>
    <t>Loans Approved</t>
  </si>
  <si>
    <t>Total Loan Amount</t>
  </si>
  <si>
    <t>Performance Score</t>
  </si>
  <si>
    <t>&lt;=</t>
  </si>
  <si>
    <t>&gt;=</t>
  </si>
  <si>
    <t>Initial Weight Share</t>
  </si>
  <si>
    <t>DEA Efficiency</t>
  </si>
  <si>
    <t>Weight Share Under Evaluation</t>
  </si>
  <si>
    <t>=</t>
  </si>
  <si>
    <t>Infeasible</t>
  </si>
  <si>
    <t>Weight share Under Evaluation</t>
  </si>
  <si>
    <t>Super Efficiency</t>
  </si>
  <si>
    <t>UnionBank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</si>
</sst>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9.6"/>
      <color rgb="FF0D0D0D"/>
      <name val="Segoe UI"/>
      <family val="2"/>
    </font>
    <font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.6"/>
      <color rgb="FF0D0D0D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E3E3E3"/>
      </top>
      <bottom style="medium">
        <color rgb="FFE3E3E3"/>
      </bottom>
      <diagonal/>
    </border>
    <border>
      <left/>
      <right/>
      <top/>
      <bottom style="medium">
        <color rgb="FFE3E3E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Alignment="1">
      <alignment vertical="center" wrapText="1"/>
    </xf>
    <xf numFmtId="0" fontId="1" fillId="2" borderId="3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1" xfId="0" applyBorder="1"/>
    <xf numFmtId="1" fontId="0" fillId="0" borderId="1" xfId="0" applyNumberFormat="1" applyBorder="1"/>
    <xf numFmtId="9" fontId="0" fillId="0" borderId="0" xfId="0" applyNumberFormat="1"/>
    <xf numFmtId="0" fontId="0" fillId="3" borderId="1" xfId="0" applyFill="1" applyBorder="1"/>
    <xf numFmtId="0" fontId="0" fillId="6" borderId="1" xfId="0" applyFill="1" applyBorder="1"/>
    <xf numFmtId="0" fontId="1" fillId="0" borderId="1" xfId="0" applyFont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vertical="center" wrapText="1"/>
    </xf>
    <xf numFmtId="0" fontId="1" fillId="7" borderId="1" xfId="0" applyFont="1" applyFill="1" applyBorder="1" applyAlignment="1">
      <alignment vertical="center" wrapText="1"/>
    </xf>
    <xf numFmtId="0" fontId="0" fillId="8" borderId="1" xfId="0" applyFill="1" applyBorder="1"/>
    <xf numFmtId="0" fontId="0" fillId="8" borderId="0" xfId="0" applyFill="1"/>
    <xf numFmtId="9" fontId="0" fillId="9" borderId="0" xfId="0" applyNumberFormat="1" applyFill="1"/>
    <xf numFmtId="0" fontId="0" fillId="4" borderId="0" xfId="0" applyFill="1"/>
    <xf numFmtId="0" fontId="1" fillId="10" borderId="0" xfId="0" applyFont="1" applyFill="1" applyAlignment="1">
      <alignment vertical="center" wrapText="1"/>
    </xf>
    <xf numFmtId="0" fontId="0" fillId="10" borderId="0" xfId="0" applyFill="1"/>
    <xf numFmtId="0" fontId="1" fillId="7" borderId="0" xfId="0" applyFont="1" applyFill="1" applyAlignment="1">
      <alignment vertical="center" wrapText="1"/>
    </xf>
    <xf numFmtId="0" fontId="0" fillId="7" borderId="0" xfId="0" applyFill="1"/>
    <xf numFmtId="0" fontId="0" fillId="11" borderId="0" xfId="0" applyFill="1"/>
    <xf numFmtId="0" fontId="0" fillId="12" borderId="0" xfId="0" applyFill="1"/>
    <xf numFmtId="9" fontId="2" fillId="13" borderId="0" xfId="0" applyNumberFormat="1" applyFont="1" applyFill="1"/>
    <xf numFmtId="0" fontId="1" fillId="14" borderId="0" xfId="0" applyFont="1" applyFill="1" applyAlignment="1">
      <alignment vertical="center" wrapText="1"/>
    </xf>
    <xf numFmtId="0" fontId="0" fillId="14" borderId="0" xfId="0" applyFill="1"/>
    <xf numFmtId="0" fontId="1" fillId="15" borderId="0" xfId="0" applyFont="1" applyFill="1" applyAlignment="1">
      <alignment vertical="center" wrapText="1"/>
    </xf>
    <xf numFmtId="0" fontId="0" fillId="15" borderId="0" xfId="0" applyFill="1"/>
    <xf numFmtId="9" fontId="0" fillId="16" borderId="0" xfId="0" applyNumberFormat="1" applyFill="1"/>
    <xf numFmtId="0" fontId="1" fillId="17" borderId="0" xfId="0" applyFont="1" applyFill="1" applyAlignment="1">
      <alignment vertical="center" wrapText="1"/>
    </xf>
    <xf numFmtId="0" fontId="0" fillId="17" borderId="0" xfId="0" applyFill="1"/>
    <xf numFmtId="0" fontId="0" fillId="13" borderId="0" xfId="0" applyFill="1"/>
    <xf numFmtId="0" fontId="1" fillId="18" borderId="0" xfId="0" applyFont="1" applyFill="1" applyAlignment="1">
      <alignment vertical="center" wrapText="1"/>
    </xf>
    <xf numFmtId="0" fontId="0" fillId="18" borderId="0" xfId="0" applyFill="1"/>
    <xf numFmtId="0" fontId="0" fillId="6" borderId="0" xfId="0" applyFill="1"/>
    <xf numFmtId="0" fontId="4" fillId="2" borderId="1" xfId="0" applyFont="1" applyFill="1" applyBorder="1" applyAlignment="1">
      <alignment horizontal="center" wrapText="1"/>
    </xf>
    <xf numFmtId="0" fontId="4" fillId="2" borderId="2" xfId="0" applyFont="1" applyFill="1" applyBorder="1" applyAlignment="1">
      <alignment horizontal="center" wrapText="1"/>
    </xf>
    <xf numFmtId="0" fontId="3" fillId="0" borderId="0" xfId="0" applyFont="1"/>
    <xf numFmtId="0" fontId="4" fillId="2" borderId="5" xfId="0" applyFont="1" applyFill="1" applyBorder="1" applyAlignment="1">
      <alignment horizontal="center" wrapText="1"/>
    </xf>
    <xf numFmtId="1" fontId="4" fillId="2" borderId="1" xfId="0" applyNumberFormat="1" applyFont="1" applyFill="1" applyBorder="1" applyAlignment="1">
      <alignment horizontal="center" wrapText="1"/>
    </xf>
    <xf numFmtId="0" fontId="4" fillId="2" borderId="4" xfId="0" applyFont="1" applyFill="1" applyBorder="1" applyAlignment="1">
      <alignment horizontal="center" wrapText="1"/>
    </xf>
    <xf numFmtId="0" fontId="4" fillId="2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0914E-9610-4D98-8ED1-9349E41F21AC}">
  <sheetPr codeName="Sheet1"/>
  <dimension ref="A1:L34"/>
  <sheetViews>
    <sheetView topLeftCell="A4" zoomScale="93" workbookViewId="0">
      <selection activeCell="G6" sqref="G6"/>
    </sheetView>
  </sheetViews>
  <sheetFormatPr defaultRowHeight="14.4" x14ac:dyDescent="0.3"/>
  <cols>
    <col min="1" max="1" width="23" bestFit="1" customWidth="1"/>
    <col min="2" max="2" width="21.44140625" customWidth="1"/>
    <col min="3" max="3" width="20.88671875" bestFit="1" customWidth="1"/>
    <col min="4" max="4" width="23.21875" bestFit="1" customWidth="1"/>
    <col min="5" max="5" width="9.77734375" customWidth="1"/>
    <col min="6" max="6" width="23" bestFit="1" customWidth="1"/>
    <col min="7" max="7" width="24.5546875" bestFit="1" customWidth="1"/>
    <col min="9" max="9" width="19.21875" bestFit="1" customWidth="1"/>
    <col min="10" max="10" width="19.6640625" bestFit="1" customWidth="1"/>
    <col min="12" max="12" width="12.44140625" bestFit="1" customWidth="1"/>
  </cols>
  <sheetData>
    <row r="1" spans="1:12" ht="15" thickBot="1" x14ac:dyDescent="0.35">
      <c r="A1" s="35" t="s">
        <v>41</v>
      </c>
      <c r="B1" s="35" t="s">
        <v>7</v>
      </c>
      <c r="C1" s="35" t="s">
        <v>8</v>
      </c>
      <c r="D1" s="35" t="s">
        <v>9</v>
      </c>
      <c r="E1" s="36"/>
      <c r="F1" s="35" t="s">
        <v>10</v>
      </c>
      <c r="G1" s="35" t="s">
        <v>11</v>
      </c>
      <c r="H1" s="37"/>
      <c r="I1" s="35" t="s">
        <v>2</v>
      </c>
      <c r="J1" s="35" t="s">
        <v>3</v>
      </c>
      <c r="K1" s="37"/>
      <c r="L1" s="35" t="s">
        <v>6</v>
      </c>
    </row>
    <row r="2" spans="1:12" ht="15" thickBot="1" x14ac:dyDescent="0.35">
      <c r="A2" s="3" t="s">
        <v>15</v>
      </c>
      <c r="B2" s="3">
        <v>15</v>
      </c>
      <c r="C2" s="3">
        <v>500</v>
      </c>
      <c r="D2" s="3">
        <v>75</v>
      </c>
      <c r="E2" s="2"/>
      <c r="F2" s="3">
        <v>120</v>
      </c>
      <c r="G2" s="3">
        <v>1500</v>
      </c>
      <c r="I2" s="4">
        <f>SUMPRODUCT($B$29:$D$29,B2:D2)</f>
        <v>1.0714285714285716</v>
      </c>
      <c r="J2" s="4">
        <f>SUMPRODUCT($F$29:$G$29,F2:G2)</f>
        <v>0.79493087557603681</v>
      </c>
      <c r="L2" s="4">
        <v>0.74193548387096786</v>
      </c>
    </row>
    <row r="3" spans="1:12" ht="15" thickBot="1" x14ac:dyDescent="0.35">
      <c r="A3" s="3" t="s">
        <v>16</v>
      </c>
      <c r="B3" s="3">
        <v>20</v>
      </c>
      <c r="C3" s="3">
        <v>650</v>
      </c>
      <c r="D3" s="3">
        <v>95</v>
      </c>
      <c r="E3" s="2"/>
      <c r="F3" s="3">
        <v>200</v>
      </c>
      <c r="G3" s="3">
        <v>2500</v>
      </c>
      <c r="I3" s="4">
        <f t="shared" ref="I3:I26" si="0">SUMPRODUCT($B$29:$D$29,B3:D3)</f>
        <v>1.4285714285714288</v>
      </c>
      <c r="J3" s="4">
        <f t="shared" ref="J3:J26" si="1">SUMPRODUCT($F$29:$G$29,F3:G3)</f>
        <v>1.3248847926267282</v>
      </c>
      <c r="L3" s="4">
        <v>0.92741935483870974</v>
      </c>
    </row>
    <row r="4" spans="1:12" ht="15" thickBot="1" x14ac:dyDescent="0.35">
      <c r="A4" s="3" t="s">
        <v>17</v>
      </c>
      <c r="B4" s="3">
        <v>12</v>
      </c>
      <c r="C4" s="3">
        <v>400</v>
      </c>
      <c r="D4" s="3">
        <v>60</v>
      </c>
      <c r="E4" s="2"/>
      <c r="F4" s="3">
        <v>90</v>
      </c>
      <c r="G4" s="3">
        <v>1200</v>
      </c>
      <c r="I4" s="4">
        <f t="shared" si="0"/>
        <v>0.85714285714285721</v>
      </c>
      <c r="J4" s="4">
        <f t="shared" si="1"/>
        <v>0.63594470046082952</v>
      </c>
      <c r="L4" s="4">
        <v>0.74193548387096764</v>
      </c>
    </row>
    <row r="5" spans="1:12" ht="15" thickBot="1" x14ac:dyDescent="0.35">
      <c r="A5" s="3" t="s">
        <v>18</v>
      </c>
      <c r="B5" s="3">
        <v>18</v>
      </c>
      <c r="C5" s="3">
        <v>550</v>
      </c>
      <c r="D5" s="3">
        <v>80</v>
      </c>
      <c r="E5" s="2"/>
      <c r="F5" s="3">
        <v>140</v>
      </c>
      <c r="G5" s="3">
        <v>1800</v>
      </c>
      <c r="I5" s="4">
        <f t="shared" si="0"/>
        <v>1.2857142857142858</v>
      </c>
      <c r="J5" s="4">
        <f t="shared" si="1"/>
        <v>0.95391705069124422</v>
      </c>
      <c r="L5" s="4">
        <v>0.74193548387096764</v>
      </c>
    </row>
    <row r="6" spans="1:12" ht="15" thickBot="1" x14ac:dyDescent="0.35">
      <c r="A6" s="3" t="s">
        <v>19</v>
      </c>
      <c r="B6" s="3">
        <v>22</v>
      </c>
      <c r="C6" s="3">
        <v>700</v>
      </c>
      <c r="D6" s="3">
        <v>100</v>
      </c>
      <c r="E6" s="2"/>
      <c r="F6" s="3">
        <v>230</v>
      </c>
      <c r="G6" s="3">
        <v>2900</v>
      </c>
      <c r="I6" s="4">
        <f t="shared" si="0"/>
        <v>1.5714285714285716</v>
      </c>
      <c r="J6" s="4">
        <f t="shared" si="1"/>
        <v>1.5368663594470047</v>
      </c>
      <c r="L6" s="4">
        <v>0.97800586510263909</v>
      </c>
    </row>
    <row r="7" spans="1:12" ht="15" thickBot="1" x14ac:dyDescent="0.35">
      <c r="A7" s="3" t="s">
        <v>20</v>
      </c>
      <c r="B7" s="3">
        <v>17</v>
      </c>
      <c r="C7" s="3">
        <v>450</v>
      </c>
      <c r="D7" s="3">
        <v>65</v>
      </c>
      <c r="E7" s="2"/>
      <c r="F7" s="3">
        <v>110</v>
      </c>
      <c r="G7" s="3">
        <v>1400</v>
      </c>
      <c r="I7" s="4">
        <f t="shared" si="0"/>
        <v>1.2142857142857144</v>
      </c>
      <c r="J7" s="4">
        <f t="shared" si="1"/>
        <v>0.74193548387096775</v>
      </c>
      <c r="L7" s="4">
        <v>0.69940339605323543</v>
      </c>
    </row>
    <row r="8" spans="1:12" ht="15" thickBot="1" x14ac:dyDescent="0.35">
      <c r="A8" s="3" t="s">
        <v>21</v>
      </c>
      <c r="B8" s="3">
        <v>19</v>
      </c>
      <c r="C8" s="3">
        <v>600</v>
      </c>
      <c r="D8" s="3">
        <v>85</v>
      </c>
      <c r="E8" s="2"/>
      <c r="F8" s="3">
        <v>190</v>
      </c>
      <c r="G8" s="3">
        <v>2400</v>
      </c>
      <c r="I8" s="4">
        <f t="shared" si="0"/>
        <v>1.3571428571428574</v>
      </c>
      <c r="J8" s="4">
        <f t="shared" si="1"/>
        <v>1.271889400921659</v>
      </c>
      <c r="L8" s="4">
        <v>0.93718166383701174</v>
      </c>
    </row>
    <row r="9" spans="1:12" ht="15" thickBot="1" x14ac:dyDescent="0.35">
      <c r="A9" s="3" t="s">
        <v>22</v>
      </c>
      <c r="B9" s="3">
        <v>16</v>
      </c>
      <c r="C9" s="3">
        <v>500</v>
      </c>
      <c r="D9" s="3">
        <v>70</v>
      </c>
      <c r="E9" s="2"/>
      <c r="F9" s="3">
        <v>150</v>
      </c>
      <c r="G9" s="3">
        <v>2000</v>
      </c>
      <c r="I9" s="4">
        <f t="shared" si="0"/>
        <v>1.142857142857143</v>
      </c>
      <c r="J9" s="4">
        <f t="shared" si="1"/>
        <v>1.0599078341013826</v>
      </c>
      <c r="L9" s="4">
        <v>0.93046033300685593</v>
      </c>
    </row>
    <row r="10" spans="1:12" ht="15" thickBot="1" x14ac:dyDescent="0.35">
      <c r="A10" s="3" t="s">
        <v>23</v>
      </c>
      <c r="B10" s="3">
        <v>14</v>
      </c>
      <c r="C10" s="3">
        <v>420</v>
      </c>
      <c r="D10" s="3">
        <v>55</v>
      </c>
      <c r="E10" s="2"/>
      <c r="F10" s="3">
        <v>100</v>
      </c>
      <c r="G10" s="3">
        <v>1600</v>
      </c>
      <c r="I10" s="4">
        <f t="shared" si="0"/>
        <v>1.0000000000000002</v>
      </c>
      <c r="J10" s="4">
        <f t="shared" si="1"/>
        <v>0.84792626728110598</v>
      </c>
      <c r="L10" s="4">
        <v>0.92363902082572158</v>
      </c>
    </row>
    <row r="11" spans="1:12" ht="15" thickBot="1" x14ac:dyDescent="0.35">
      <c r="A11" s="3" t="s">
        <v>61</v>
      </c>
      <c r="B11" s="3">
        <v>21</v>
      </c>
      <c r="C11" s="3">
        <v>650</v>
      </c>
      <c r="D11" s="3">
        <v>90</v>
      </c>
      <c r="E11" s="2"/>
      <c r="F11" s="3">
        <v>210</v>
      </c>
      <c r="G11" s="3">
        <v>2700</v>
      </c>
      <c r="I11" s="4">
        <f t="shared" si="0"/>
        <v>1.5000000000000002</v>
      </c>
      <c r="J11" s="4">
        <f t="shared" si="1"/>
        <v>1.4308755760368663</v>
      </c>
      <c r="L11" s="4">
        <v>0.96218905472636818</v>
      </c>
    </row>
    <row r="12" spans="1:12" ht="15" thickBot="1" x14ac:dyDescent="0.35">
      <c r="A12" s="3" t="s">
        <v>25</v>
      </c>
      <c r="B12" s="3">
        <v>13</v>
      </c>
      <c r="C12" s="3">
        <v>470</v>
      </c>
      <c r="D12" s="3">
        <v>75</v>
      </c>
      <c r="E12" s="2"/>
      <c r="F12" s="3">
        <v>130</v>
      </c>
      <c r="G12" s="3">
        <v>1650</v>
      </c>
      <c r="I12" s="4">
        <f t="shared" si="0"/>
        <v>0.92857142857142871</v>
      </c>
      <c r="J12" s="4">
        <f t="shared" si="1"/>
        <v>0.87442396313364057</v>
      </c>
      <c r="L12" s="4">
        <v>0.94168734491315131</v>
      </c>
    </row>
    <row r="13" spans="1:12" ht="15" thickBot="1" x14ac:dyDescent="0.35">
      <c r="A13" s="3" t="s">
        <v>26</v>
      </c>
      <c r="B13" s="3">
        <v>20</v>
      </c>
      <c r="C13" s="3">
        <v>530</v>
      </c>
      <c r="D13" s="3">
        <v>82</v>
      </c>
      <c r="E13" s="2"/>
      <c r="F13" s="3">
        <v>175</v>
      </c>
      <c r="G13" s="3">
        <v>2200</v>
      </c>
      <c r="I13" s="4">
        <f t="shared" si="0"/>
        <v>1.4285714285714288</v>
      </c>
      <c r="J13" s="4">
        <f t="shared" si="1"/>
        <v>1.1658986175115207</v>
      </c>
      <c r="L13" s="4">
        <v>0.91052951917224578</v>
      </c>
    </row>
    <row r="14" spans="1:12" ht="15" thickBot="1" x14ac:dyDescent="0.35">
      <c r="A14" s="3" t="s">
        <v>27</v>
      </c>
      <c r="B14" s="3">
        <v>23</v>
      </c>
      <c r="C14" s="3">
        <v>680</v>
      </c>
      <c r="D14" s="3">
        <v>102</v>
      </c>
      <c r="E14" s="2"/>
      <c r="F14" s="3">
        <v>250</v>
      </c>
      <c r="G14" s="3">
        <v>3100</v>
      </c>
      <c r="I14" s="4">
        <f t="shared" si="0"/>
        <v>1.642857142857143</v>
      </c>
      <c r="J14" s="4">
        <f t="shared" si="1"/>
        <v>1.6428571428571428</v>
      </c>
      <c r="L14" s="4">
        <v>1</v>
      </c>
    </row>
    <row r="15" spans="1:12" ht="15" thickBot="1" x14ac:dyDescent="0.35">
      <c r="A15" s="3" t="s">
        <v>28</v>
      </c>
      <c r="B15" s="3">
        <v>15</v>
      </c>
      <c r="C15" s="3">
        <v>490</v>
      </c>
      <c r="D15" s="3">
        <v>68</v>
      </c>
      <c r="E15" s="2"/>
      <c r="F15" s="3">
        <v>105</v>
      </c>
      <c r="G15" s="3">
        <v>1750</v>
      </c>
      <c r="I15" s="4">
        <f t="shared" si="0"/>
        <v>1.0714285714285716</v>
      </c>
      <c r="J15" s="4">
        <f t="shared" si="1"/>
        <v>0.92741935483870963</v>
      </c>
      <c r="L15" s="4">
        <v>0.86559139784946248</v>
      </c>
    </row>
    <row r="16" spans="1:12" ht="15" thickBot="1" x14ac:dyDescent="0.35">
      <c r="A16" s="3" t="s">
        <v>29</v>
      </c>
      <c r="B16" s="3">
        <v>18</v>
      </c>
      <c r="C16" s="3">
        <v>570</v>
      </c>
      <c r="D16" s="3">
        <v>77</v>
      </c>
      <c r="E16" s="2"/>
      <c r="F16" s="3">
        <v>145</v>
      </c>
      <c r="G16" s="3">
        <v>1950</v>
      </c>
      <c r="I16" s="4">
        <f t="shared" si="0"/>
        <v>1.2857142857142858</v>
      </c>
      <c r="J16" s="4">
        <f t="shared" si="1"/>
        <v>1.0334101382488479</v>
      </c>
      <c r="L16" s="4">
        <v>0.81072210065645511</v>
      </c>
    </row>
    <row r="17" spans="1:12" ht="15" thickBot="1" x14ac:dyDescent="0.35">
      <c r="A17" s="3" t="s">
        <v>30</v>
      </c>
      <c r="B17" s="3">
        <v>22</v>
      </c>
      <c r="C17" s="3">
        <v>610</v>
      </c>
      <c r="D17" s="3">
        <v>88</v>
      </c>
      <c r="E17" s="2"/>
      <c r="F17" s="3">
        <v>200</v>
      </c>
      <c r="G17" s="3">
        <v>2600</v>
      </c>
      <c r="I17" s="4">
        <f t="shared" si="0"/>
        <v>1.5714285714285716</v>
      </c>
      <c r="J17" s="4">
        <f t="shared" si="1"/>
        <v>1.3778801843317972</v>
      </c>
      <c r="L17" s="4">
        <v>0.95642155201626555</v>
      </c>
    </row>
    <row r="18" spans="1:12" ht="15" thickBot="1" x14ac:dyDescent="0.35">
      <c r="A18" s="3" t="s">
        <v>31</v>
      </c>
      <c r="B18" s="3">
        <v>16</v>
      </c>
      <c r="C18" s="3">
        <v>440</v>
      </c>
      <c r="D18" s="3">
        <v>60</v>
      </c>
      <c r="E18" s="2"/>
      <c r="F18" s="3">
        <v>115</v>
      </c>
      <c r="G18" s="3">
        <v>1850</v>
      </c>
      <c r="I18" s="4">
        <f t="shared" si="0"/>
        <v>1.142857142857143</v>
      </c>
      <c r="J18" s="4">
        <f t="shared" si="1"/>
        <v>0.9804147465437788</v>
      </c>
      <c r="L18" s="4">
        <v>0.9786231884057971</v>
      </c>
    </row>
    <row r="19" spans="1:12" ht="15" thickBot="1" x14ac:dyDescent="0.35">
      <c r="A19" s="3" t="s">
        <v>32</v>
      </c>
      <c r="B19" s="3">
        <v>19</v>
      </c>
      <c r="C19" s="3">
        <v>520</v>
      </c>
      <c r="D19" s="3">
        <v>73</v>
      </c>
      <c r="E19" s="2"/>
      <c r="F19" s="3">
        <v>160</v>
      </c>
      <c r="G19" s="3">
        <v>2300</v>
      </c>
      <c r="I19" s="4">
        <f t="shared" si="0"/>
        <v>1.3571428571428574</v>
      </c>
      <c r="J19" s="4">
        <f t="shared" si="1"/>
        <v>1.2188940092165899</v>
      </c>
      <c r="L19" s="4">
        <v>0.99999999999999989</v>
      </c>
    </row>
    <row r="20" spans="1:12" ht="15" thickBot="1" x14ac:dyDescent="0.35">
      <c r="A20" s="3" t="s">
        <v>33</v>
      </c>
      <c r="B20" s="3">
        <v>21</v>
      </c>
      <c r="C20" s="3">
        <v>660</v>
      </c>
      <c r="D20" s="3">
        <v>89</v>
      </c>
      <c r="E20" s="2"/>
      <c r="F20" s="3">
        <v>215</v>
      </c>
      <c r="G20" s="3">
        <v>2800</v>
      </c>
      <c r="I20" s="4">
        <f t="shared" si="0"/>
        <v>1.5000000000000002</v>
      </c>
      <c r="J20" s="4">
        <f t="shared" si="1"/>
        <v>1.4838709677419355</v>
      </c>
      <c r="L20" s="4">
        <v>1.0000000000000002</v>
      </c>
    </row>
    <row r="21" spans="1:12" ht="15" thickBot="1" x14ac:dyDescent="0.35">
      <c r="A21" s="3" t="s">
        <v>34</v>
      </c>
      <c r="B21" s="3">
        <v>13</v>
      </c>
      <c r="C21" s="3">
        <v>410</v>
      </c>
      <c r="D21" s="3">
        <v>58</v>
      </c>
      <c r="E21" s="2"/>
      <c r="F21" s="3">
        <v>95</v>
      </c>
      <c r="G21" s="3">
        <v>1550</v>
      </c>
      <c r="I21" s="4">
        <f t="shared" si="0"/>
        <v>0.92857142857142871</v>
      </c>
      <c r="J21" s="4">
        <f t="shared" si="1"/>
        <v>0.8214285714285714</v>
      </c>
      <c r="L21" s="4">
        <v>0.88461538461538447</v>
      </c>
    </row>
    <row r="22" spans="1:12" ht="15" thickBot="1" x14ac:dyDescent="0.35">
      <c r="A22" s="3" t="s">
        <v>35</v>
      </c>
      <c r="B22" s="3">
        <v>24</v>
      </c>
      <c r="C22" s="3">
        <v>720</v>
      </c>
      <c r="D22" s="3">
        <v>105</v>
      </c>
      <c r="E22" s="2"/>
      <c r="F22" s="3">
        <v>240</v>
      </c>
      <c r="G22" s="3">
        <v>3000</v>
      </c>
      <c r="I22" s="4">
        <f t="shared" si="0"/>
        <v>1.7142857142857144</v>
      </c>
      <c r="J22" s="4">
        <f t="shared" si="1"/>
        <v>1.5898617511520736</v>
      </c>
      <c r="L22" s="4">
        <v>0.9347547974413648</v>
      </c>
    </row>
    <row r="23" spans="1:12" ht="15" thickBot="1" x14ac:dyDescent="0.35">
      <c r="A23" s="3" t="s">
        <v>36</v>
      </c>
      <c r="B23" s="3">
        <v>17</v>
      </c>
      <c r="C23" s="3">
        <v>500</v>
      </c>
      <c r="D23" s="3">
        <v>69</v>
      </c>
      <c r="E23" s="2"/>
      <c r="F23" s="3">
        <v>120</v>
      </c>
      <c r="G23" s="3">
        <v>1900</v>
      </c>
      <c r="I23" s="4">
        <f t="shared" si="0"/>
        <v>1.2142857142857144</v>
      </c>
      <c r="J23" s="4">
        <f t="shared" si="1"/>
        <v>1.0069124423963134</v>
      </c>
      <c r="L23" s="4">
        <v>0.87617739403453687</v>
      </c>
    </row>
    <row r="24" spans="1:12" ht="15" thickBot="1" x14ac:dyDescent="0.35">
      <c r="A24" s="3" t="s">
        <v>37</v>
      </c>
      <c r="B24" s="3">
        <v>15</v>
      </c>
      <c r="C24" s="3">
        <v>430</v>
      </c>
      <c r="D24" s="3">
        <v>61</v>
      </c>
      <c r="E24" s="2"/>
      <c r="F24" s="3">
        <v>110</v>
      </c>
      <c r="G24" s="3">
        <v>1700</v>
      </c>
      <c r="I24" s="4">
        <f t="shared" si="0"/>
        <v>1.0714285714285716</v>
      </c>
      <c r="J24" s="4">
        <f t="shared" si="1"/>
        <v>0.90092165898617516</v>
      </c>
      <c r="L24" s="4">
        <v>0.89370269564893179</v>
      </c>
    </row>
    <row r="25" spans="1:12" ht="15" thickBot="1" x14ac:dyDescent="0.35">
      <c r="A25" s="3" t="s">
        <v>38</v>
      </c>
      <c r="B25" s="3">
        <v>20</v>
      </c>
      <c r="C25" s="3">
        <v>560</v>
      </c>
      <c r="D25" s="3">
        <v>79</v>
      </c>
      <c r="E25" s="2"/>
      <c r="F25" s="3">
        <v>180</v>
      </c>
      <c r="G25" s="3">
        <v>2150</v>
      </c>
      <c r="I25" s="4">
        <f t="shared" si="0"/>
        <v>1.4285714285714288</v>
      </c>
      <c r="J25" s="4">
        <f t="shared" si="1"/>
        <v>1.1394009216589862</v>
      </c>
      <c r="L25" s="4">
        <v>0.92962025316455688</v>
      </c>
    </row>
    <row r="26" spans="1:12" ht="15" thickBot="1" x14ac:dyDescent="0.35">
      <c r="A26" s="3" t="s">
        <v>39</v>
      </c>
      <c r="B26" s="3">
        <v>14</v>
      </c>
      <c r="C26" s="3">
        <v>450</v>
      </c>
      <c r="D26" s="3">
        <v>63</v>
      </c>
      <c r="E26" s="2"/>
      <c r="F26" s="3">
        <v>100</v>
      </c>
      <c r="G26" s="3">
        <v>1600</v>
      </c>
      <c r="H26" s="1"/>
      <c r="I26" s="4">
        <f t="shared" si="0"/>
        <v>1.0000000000000002</v>
      </c>
      <c r="J26" s="4">
        <f t="shared" si="1"/>
        <v>0.84792626728110598</v>
      </c>
      <c r="L26" s="4">
        <v>0.84792626728110598</v>
      </c>
    </row>
    <row r="29" spans="1:12" x14ac:dyDescent="0.3">
      <c r="A29" s="9" t="s">
        <v>0</v>
      </c>
      <c r="B29" s="10">
        <v>7.1428571428571438E-2</v>
      </c>
      <c r="C29" s="10">
        <v>0</v>
      </c>
      <c r="D29" s="10">
        <v>0</v>
      </c>
      <c r="E29" s="4"/>
      <c r="F29" s="11">
        <v>0</v>
      </c>
      <c r="G29" s="11">
        <v>5.2995391705069124E-4</v>
      </c>
    </row>
    <row r="32" spans="1:12" x14ac:dyDescent="0.3">
      <c r="A32" s="4" t="s">
        <v>1</v>
      </c>
      <c r="B32" s="4">
        <v>25</v>
      </c>
    </row>
    <row r="33" spans="1:2" x14ac:dyDescent="0.3">
      <c r="A33" s="4" t="s">
        <v>4</v>
      </c>
      <c r="B33" s="8" cm="1">
        <f t="array" ref="B33">INDEX(I2:I26,B32,0)</f>
        <v>1.0000000000000002</v>
      </c>
    </row>
    <row r="34" spans="1:2" x14ac:dyDescent="0.3">
      <c r="A34" s="4" t="s">
        <v>5</v>
      </c>
      <c r="B34" s="8" cm="1">
        <f t="array" ref="B34">INDEX(J2:J26,B32,0)</f>
        <v>0.84792626728110598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461A6-4E41-4709-A791-5220742971C3}">
  <sheetPr codeName="Sheet2"/>
  <dimension ref="A1:Q34"/>
  <sheetViews>
    <sheetView tabSelected="1" zoomScale="60" workbookViewId="0">
      <selection activeCell="I6" sqref="I6"/>
    </sheetView>
  </sheetViews>
  <sheetFormatPr defaultRowHeight="14.4" x14ac:dyDescent="0.3"/>
  <cols>
    <col min="1" max="1" width="23" bestFit="1" customWidth="1"/>
    <col min="2" max="2" width="21.44140625" customWidth="1"/>
    <col min="3" max="3" width="20.88671875" bestFit="1" customWidth="1"/>
    <col min="4" max="4" width="23.21875" bestFit="1" customWidth="1"/>
    <col min="5" max="5" width="14.88671875" customWidth="1"/>
    <col min="6" max="6" width="9.77734375" customWidth="1"/>
    <col min="7" max="7" width="26.6640625" customWidth="1"/>
    <col min="8" max="8" width="24.77734375" customWidth="1"/>
    <col min="9" max="9" width="28.109375" customWidth="1"/>
    <col min="10" max="10" width="9.77734375" customWidth="1"/>
    <col min="11" max="11" width="23" bestFit="1" customWidth="1"/>
    <col min="12" max="12" width="24.5546875" bestFit="1" customWidth="1"/>
    <col min="14" max="14" width="19.21875" bestFit="1" customWidth="1"/>
    <col min="15" max="15" width="19.6640625" bestFit="1" customWidth="1"/>
    <col min="17" max="17" width="24.33203125" customWidth="1"/>
  </cols>
  <sheetData>
    <row r="1" spans="1:17" x14ac:dyDescent="0.3">
      <c r="A1" s="35" t="s">
        <v>41</v>
      </c>
      <c r="B1" s="35" t="s">
        <v>7</v>
      </c>
      <c r="C1" s="35" t="s">
        <v>8</v>
      </c>
      <c r="D1" s="35" t="s">
        <v>9</v>
      </c>
      <c r="E1" s="35" t="s">
        <v>6</v>
      </c>
      <c r="F1" s="35"/>
      <c r="G1" s="39" t="s">
        <v>12</v>
      </c>
      <c r="H1" s="35" t="s">
        <v>13</v>
      </c>
      <c r="I1" s="35" t="s">
        <v>14</v>
      </c>
      <c r="J1" s="35"/>
      <c r="K1" s="35" t="s">
        <v>10</v>
      </c>
      <c r="L1" s="35" t="s">
        <v>11</v>
      </c>
      <c r="M1" s="37"/>
      <c r="N1" s="35" t="s">
        <v>2</v>
      </c>
      <c r="O1" s="40" t="s">
        <v>3</v>
      </c>
      <c r="P1" s="37"/>
      <c r="Q1" s="41" t="s">
        <v>40</v>
      </c>
    </row>
    <row r="2" spans="1:17" x14ac:dyDescent="0.3">
      <c r="A2" s="3" t="s">
        <v>15</v>
      </c>
      <c r="B2" s="3">
        <v>15</v>
      </c>
      <c r="C2" s="3">
        <v>500</v>
      </c>
      <c r="D2" s="3">
        <v>75</v>
      </c>
      <c r="E2" s="4">
        <v>0.74193548387096786</v>
      </c>
      <c r="F2" s="4"/>
      <c r="G2" s="5">
        <f>E2*B2</f>
        <v>11.129032258064518</v>
      </c>
      <c r="H2" s="5">
        <f>E2*C2</f>
        <v>370.96774193548396</v>
      </c>
      <c r="I2" s="5">
        <f>E2*D2</f>
        <v>55.645161290322591</v>
      </c>
      <c r="J2" s="4"/>
      <c r="K2" s="3">
        <v>120</v>
      </c>
      <c r="L2" s="3">
        <v>1500</v>
      </c>
      <c r="N2" s="4">
        <f>SUMPRODUCT($G$29:$I$29,G2:I2)</f>
        <v>0.93750000000002065</v>
      </c>
      <c r="O2" s="4">
        <f>SUMPRODUCT($K$29:$L$29,K2:L2)</f>
        <v>0.93749999999999967</v>
      </c>
      <c r="Q2">
        <v>1.0000000000000193</v>
      </c>
    </row>
    <row r="3" spans="1:17" x14ac:dyDescent="0.3">
      <c r="A3" s="3" t="s">
        <v>16</v>
      </c>
      <c r="B3" s="3">
        <v>20</v>
      </c>
      <c r="C3" s="3">
        <v>650</v>
      </c>
      <c r="D3" s="3">
        <v>95</v>
      </c>
      <c r="E3" s="4">
        <v>0.92741935483870974</v>
      </c>
      <c r="F3" s="4"/>
      <c r="G3" s="5">
        <f t="shared" ref="G3:G26" si="0">E3*B3</f>
        <v>18.548387096774196</v>
      </c>
      <c r="H3" s="5">
        <f t="shared" ref="H3:H26" si="1">E3*C3</f>
        <v>602.82258064516134</v>
      </c>
      <c r="I3" s="5">
        <f t="shared" ref="I3:I26" si="2">E3*D3</f>
        <v>88.104838709677423</v>
      </c>
      <c r="J3" s="4"/>
      <c r="K3" s="3">
        <v>200</v>
      </c>
      <c r="L3" s="3">
        <v>2500</v>
      </c>
      <c r="N3" s="4">
        <f t="shared" ref="N3:N26" si="3">SUMPRODUCT($G$29:$I$29,G3:I3)</f>
        <v>1.5625000000000324</v>
      </c>
      <c r="O3" s="4">
        <f t="shared" ref="O3:O26" si="4">SUMPRODUCT($K$29:$L$29,K3:L3)</f>
        <v>1.5624999999999996</v>
      </c>
      <c r="Q3">
        <v>1</v>
      </c>
    </row>
    <row r="4" spans="1:17" x14ac:dyDescent="0.3">
      <c r="A4" s="3" t="s">
        <v>17</v>
      </c>
      <c r="B4" s="3">
        <v>12</v>
      </c>
      <c r="C4" s="3">
        <v>400</v>
      </c>
      <c r="D4" s="3">
        <v>60</v>
      </c>
      <c r="E4" s="4">
        <v>0.74193548387096764</v>
      </c>
      <c r="F4" s="4"/>
      <c r="G4" s="5">
        <f t="shared" si="0"/>
        <v>8.9032258064516121</v>
      </c>
      <c r="H4" s="5">
        <f t="shared" si="1"/>
        <v>296.77419354838707</v>
      </c>
      <c r="I4" s="5">
        <f t="shared" si="2"/>
        <v>44.516129032258057</v>
      </c>
      <c r="J4" s="4"/>
      <c r="K4" s="3">
        <v>90</v>
      </c>
      <c r="L4" s="3">
        <v>1200</v>
      </c>
      <c r="N4" s="4">
        <f t="shared" si="3"/>
        <v>0.75000000000001632</v>
      </c>
      <c r="O4" s="4">
        <f t="shared" si="4"/>
        <v>0.74999999999999978</v>
      </c>
      <c r="Q4">
        <v>1</v>
      </c>
    </row>
    <row r="5" spans="1:17" x14ac:dyDescent="0.3">
      <c r="A5" s="3" t="s">
        <v>18</v>
      </c>
      <c r="B5" s="3">
        <v>18</v>
      </c>
      <c r="C5" s="3">
        <v>550</v>
      </c>
      <c r="D5" s="3">
        <v>80</v>
      </c>
      <c r="E5" s="4">
        <v>0.74193548387096764</v>
      </c>
      <c r="F5" s="4"/>
      <c r="G5" s="5">
        <f t="shared" si="0"/>
        <v>13.354838709677418</v>
      </c>
      <c r="H5" s="5">
        <f t="shared" si="1"/>
        <v>408.0645161290322</v>
      </c>
      <c r="I5" s="5">
        <f t="shared" si="2"/>
        <v>59.354838709677409</v>
      </c>
      <c r="J5" s="4"/>
      <c r="K5" s="3">
        <v>140</v>
      </c>
      <c r="L5" s="3">
        <v>1800</v>
      </c>
      <c r="N5" s="4">
        <f t="shared" si="3"/>
        <v>1.1250000000000215</v>
      </c>
      <c r="O5" s="4">
        <f t="shared" si="4"/>
        <v>1.1249999999999996</v>
      </c>
      <c r="Q5">
        <v>1.0000000000000002</v>
      </c>
    </row>
    <row r="6" spans="1:17" x14ac:dyDescent="0.3">
      <c r="A6" s="3" t="s">
        <v>19</v>
      </c>
      <c r="B6" s="3">
        <v>22</v>
      </c>
      <c r="C6" s="3">
        <v>700</v>
      </c>
      <c r="D6" s="3">
        <v>100</v>
      </c>
      <c r="E6" s="4">
        <v>0.97800586510263909</v>
      </c>
      <c r="F6" s="4"/>
      <c r="G6" s="5">
        <f t="shared" si="0"/>
        <v>21.516129032258061</v>
      </c>
      <c r="H6" s="5">
        <f t="shared" si="1"/>
        <v>684.60410557184741</v>
      </c>
      <c r="I6" s="5">
        <f t="shared" si="2"/>
        <v>97.800586510263912</v>
      </c>
      <c r="J6" s="4"/>
      <c r="K6" s="3">
        <v>230</v>
      </c>
      <c r="L6" s="3">
        <v>2900</v>
      </c>
      <c r="N6" s="4">
        <f t="shared" si="3"/>
        <v>1.8125000000000355</v>
      </c>
      <c r="O6" s="4">
        <f t="shared" si="4"/>
        <v>1.8124999999999993</v>
      </c>
      <c r="Q6">
        <v>1.0000000000000002</v>
      </c>
    </row>
    <row r="7" spans="1:17" x14ac:dyDescent="0.3">
      <c r="A7" s="3" t="s">
        <v>20</v>
      </c>
      <c r="B7" s="3">
        <v>17</v>
      </c>
      <c r="C7" s="3">
        <v>450</v>
      </c>
      <c r="D7" s="3">
        <v>65</v>
      </c>
      <c r="E7" s="4">
        <v>0.69940339605323543</v>
      </c>
      <c r="F7" s="4"/>
      <c r="G7" s="5">
        <f t="shared" si="0"/>
        <v>11.889857732905002</v>
      </c>
      <c r="H7" s="5">
        <f t="shared" si="1"/>
        <v>314.73152822395593</v>
      </c>
      <c r="I7" s="5">
        <f t="shared" si="2"/>
        <v>45.461220743460302</v>
      </c>
      <c r="J7" s="4"/>
      <c r="K7" s="3">
        <v>110</v>
      </c>
      <c r="L7" s="3">
        <v>1400</v>
      </c>
      <c r="N7" s="4">
        <f t="shared" si="3"/>
        <v>1.0015912764132098</v>
      </c>
      <c r="O7" s="4">
        <f t="shared" si="4"/>
        <v>0.87499999999999967</v>
      </c>
      <c r="Q7">
        <v>0.99999999999999956</v>
      </c>
    </row>
    <row r="8" spans="1:17" x14ac:dyDescent="0.3">
      <c r="A8" s="3" t="s">
        <v>21</v>
      </c>
      <c r="B8" s="3">
        <v>19</v>
      </c>
      <c r="C8" s="3">
        <v>600</v>
      </c>
      <c r="D8" s="3">
        <v>85</v>
      </c>
      <c r="E8" s="4">
        <v>0.93718166383701174</v>
      </c>
      <c r="F8" s="4"/>
      <c r="G8" s="5">
        <f t="shared" si="0"/>
        <v>17.806451612903224</v>
      </c>
      <c r="H8" s="5">
        <f t="shared" si="1"/>
        <v>562.30899830220699</v>
      </c>
      <c r="I8" s="5">
        <f t="shared" si="2"/>
        <v>79.660441426145994</v>
      </c>
      <c r="J8" s="4"/>
      <c r="K8" s="3">
        <v>190</v>
      </c>
      <c r="L8" s="3">
        <v>2400</v>
      </c>
      <c r="N8" s="4">
        <f t="shared" si="3"/>
        <v>1.5000000000000291</v>
      </c>
      <c r="O8" s="4">
        <f t="shared" si="4"/>
        <v>1.4999999999999996</v>
      </c>
      <c r="Q8">
        <v>1.0000000000000364</v>
      </c>
    </row>
    <row r="9" spans="1:17" x14ac:dyDescent="0.3">
      <c r="A9" s="3" t="s">
        <v>22</v>
      </c>
      <c r="B9" s="3">
        <v>16</v>
      </c>
      <c r="C9" s="3">
        <v>500</v>
      </c>
      <c r="D9" s="3">
        <v>70</v>
      </c>
      <c r="E9" s="4">
        <v>0.93046033300685593</v>
      </c>
      <c r="F9" s="4"/>
      <c r="G9" s="5">
        <f t="shared" si="0"/>
        <v>14.887365328109695</v>
      </c>
      <c r="H9" s="5">
        <f t="shared" si="1"/>
        <v>465.23016650342799</v>
      </c>
      <c r="I9" s="5">
        <f t="shared" si="2"/>
        <v>65.132223310479915</v>
      </c>
      <c r="J9" s="4"/>
      <c r="K9" s="3">
        <v>150</v>
      </c>
      <c r="L9" s="3">
        <v>2000</v>
      </c>
      <c r="N9" s="4">
        <f t="shared" si="3"/>
        <v>1.2540987097049165</v>
      </c>
      <c r="O9" s="4">
        <f t="shared" si="4"/>
        <v>1.2499999999999996</v>
      </c>
      <c r="Q9">
        <v>0.99999999999999978</v>
      </c>
    </row>
    <row r="10" spans="1:17" x14ac:dyDescent="0.3">
      <c r="A10" s="3" t="s">
        <v>23</v>
      </c>
      <c r="B10" s="3">
        <v>14</v>
      </c>
      <c r="C10" s="3">
        <v>420</v>
      </c>
      <c r="D10" s="3">
        <v>55</v>
      </c>
      <c r="E10" s="4">
        <v>0.92363902082572158</v>
      </c>
      <c r="F10" s="4"/>
      <c r="G10" s="5">
        <f t="shared" si="0"/>
        <v>12.930946291560103</v>
      </c>
      <c r="H10" s="5">
        <f t="shared" si="1"/>
        <v>387.92838874680308</v>
      </c>
      <c r="I10" s="5">
        <f t="shared" si="2"/>
        <v>50.800146145414686</v>
      </c>
      <c r="J10" s="4"/>
      <c r="K10" s="3">
        <v>100</v>
      </c>
      <c r="L10" s="3">
        <v>1600</v>
      </c>
      <c r="N10" s="4">
        <f t="shared" si="3"/>
        <v>1.0892916712999186</v>
      </c>
      <c r="O10" s="4">
        <f t="shared" si="4"/>
        <v>0.99999999999999967</v>
      </c>
      <c r="Q10">
        <v>0.99999999999999933</v>
      </c>
    </row>
    <row r="11" spans="1:17" x14ac:dyDescent="0.3">
      <c r="A11" s="3" t="s">
        <v>24</v>
      </c>
      <c r="B11" s="3">
        <v>21</v>
      </c>
      <c r="C11" s="3">
        <v>650</v>
      </c>
      <c r="D11" s="3">
        <v>90</v>
      </c>
      <c r="E11" s="4">
        <v>0.96218905472636818</v>
      </c>
      <c r="F11" s="4"/>
      <c r="G11" s="5">
        <f t="shared" si="0"/>
        <v>20.20597014925373</v>
      </c>
      <c r="H11" s="5">
        <f t="shared" si="1"/>
        <v>625.42288557213931</v>
      </c>
      <c r="I11" s="5">
        <f t="shared" si="2"/>
        <v>86.597014925373131</v>
      </c>
      <c r="J11" s="4"/>
      <c r="K11" s="3">
        <v>210</v>
      </c>
      <c r="L11" s="3">
        <v>2700</v>
      </c>
      <c r="N11" s="4">
        <f t="shared" si="3"/>
        <v>1.7021333549643405</v>
      </c>
      <c r="O11" s="4">
        <f t="shared" si="4"/>
        <v>1.6874999999999996</v>
      </c>
      <c r="Q11">
        <v>0.99999999999999944</v>
      </c>
    </row>
    <row r="12" spans="1:17" x14ac:dyDescent="0.3">
      <c r="A12" s="3" t="s">
        <v>25</v>
      </c>
      <c r="B12" s="3">
        <v>13</v>
      </c>
      <c r="C12" s="3">
        <v>470</v>
      </c>
      <c r="D12" s="3">
        <v>75</v>
      </c>
      <c r="E12" s="4">
        <v>0.94168734491315131</v>
      </c>
      <c r="F12" s="4"/>
      <c r="G12" s="5">
        <f t="shared" si="0"/>
        <v>12.241935483870968</v>
      </c>
      <c r="H12" s="5">
        <f t="shared" si="1"/>
        <v>442.59305210918114</v>
      </c>
      <c r="I12" s="5">
        <f t="shared" si="2"/>
        <v>70.626550868486348</v>
      </c>
      <c r="J12" s="4"/>
      <c r="K12" s="3">
        <v>130</v>
      </c>
      <c r="L12" s="3">
        <v>1650</v>
      </c>
      <c r="N12" s="4">
        <f t="shared" si="3"/>
        <v>1.0312500000000262</v>
      </c>
      <c r="O12" s="4">
        <f t="shared" si="4"/>
        <v>1.0312499999999996</v>
      </c>
      <c r="Q12">
        <v>0.99999999999999967</v>
      </c>
    </row>
    <row r="13" spans="1:17" x14ac:dyDescent="0.3">
      <c r="A13" s="3" t="s">
        <v>26</v>
      </c>
      <c r="B13" s="3">
        <v>20</v>
      </c>
      <c r="C13" s="3">
        <v>530</v>
      </c>
      <c r="D13" s="3">
        <v>82</v>
      </c>
      <c r="E13" s="4">
        <v>0.91052951917224578</v>
      </c>
      <c r="F13" s="4"/>
      <c r="G13" s="5">
        <f t="shared" si="0"/>
        <v>18.210590383444917</v>
      </c>
      <c r="H13" s="5">
        <f t="shared" si="1"/>
        <v>482.58064516129025</v>
      </c>
      <c r="I13" s="5">
        <f t="shared" si="2"/>
        <v>74.663420572124153</v>
      </c>
      <c r="J13" s="4"/>
      <c r="K13" s="3">
        <v>175</v>
      </c>
      <c r="L13" s="3">
        <v>2200</v>
      </c>
      <c r="N13" s="4">
        <f t="shared" si="3"/>
        <v>1.5340442986054414</v>
      </c>
      <c r="O13" s="4">
        <f t="shared" si="4"/>
        <v>1.3749999999999996</v>
      </c>
      <c r="Q13">
        <v>0.99999999999999989</v>
      </c>
    </row>
    <row r="14" spans="1:17" x14ac:dyDescent="0.3">
      <c r="A14" s="3" t="s">
        <v>27</v>
      </c>
      <c r="B14" s="3">
        <v>23</v>
      </c>
      <c r="C14" s="3">
        <v>680</v>
      </c>
      <c r="D14" s="3">
        <v>102</v>
      </c>
      <c r="E14" s="4">
        <v>1</v>
      </c>
      <c r="F14" s="4"/>
      <c r="G14" s="5">
        <f t="shared" si="0"/>
        <v>23</v>
      </c>
      <c r="H14" s="5">
        <f t="shared" si="1"/>
        <v>680</v>
      </c>
      <c r="I14" s="5">
        <f t="shared" si="2"/>
        <v>102</v>
      </c>
      <c r="J14" s="4"/>
      <c r="K14" s="3">
        <v>250</v>
      </c>
      <c r="L14" s="3">
        <v>3100</v>
      </c>
      <c r="N14" s="4">
        <f t="shared" si="3"/>
        <v>1.9375000000000373</v>
      </c>
      <c r="O14" s="4">
        <f t="shared" si="4"/>
        <v>1.9374999999999993</v>
      </c>
      <c r="Q14">
        <v>1.0000000000000553</v>
      </c>
    </row>
    <row r="15" spans="1:17" x14ac:dyDescent="0.3">
      <c r="A15" s="3" t="s">
        <v>28</v>
      </c>
      <c r="B15" s="3">
        <v>15</v>
      </c>
      <c r="C15" s="3">
        <v>490</v>
      </c>
      <c r="D15" s="3">
        <v>68</v>
      </c>
      <c r="E15" s="4">
        <v>0.86559139784946248</v>
      </c>
      <c r="F15" s="4"/>
      <c r="G15" s="5">
        <f t="shared" si="0"/>
        <v>12.983870967741938</v>
      </c>
      <c r="H15" s="5">
        <f t="shared" si="1"/>
        <v>424.1397849462366</v>
      </c>
      <c r="I15" s="5">
        <f t="shared" si="2"/>
        <v>58.860215053763447</v>
      </c>
      <c r="J15" s="4"/>
      <c r="K15" s="3">
        <v>105</v>
      </c>
      <c r="L15" s="3">
        <v>1750</v>
      </c>
      <c r="N15" s="4">
        <f t="shared" si="3"/>
        <v>1.0937500000000218</v>
      </c>
      <c r="O15" s="4">
        <f t="shared" si="4"/>
        <v>1.0937499999999996</v>
      </c>
      <c r="Q15">
        <v>1.0000000000000406</v>
      </c>
    </row>
    <row r="16" spans="1:17" x14ac:dyDescent="0.3">
      <c r="A16" s="3" t="s">
        <v>29</v>
      </c>
      <c r="B16" s="3">
        <v>18</v>
      </c>
      <c r="C16" s="3">
        <v>570</v>
      </c>
      <c r="D16" s="3">
        <v>77</v>
      </c>
      <c r="E16" s="4">
        <v>0.81072210065645511</v>
      </c>
      <c r="F16" s="4"/>
      <c r="G16" s="5">
        <f t="shared" si="0"/>
        <v>14.592997811816192</v>
      </c>
      <c r="H16" s="5">
        <f t="shared" si="1"/>
        <v>462.11159737417944</v>
      </c>
      <c r="I16" s="5">
        <f t="shared" si="2"/>
        <v>62.425601750547045</v>
      </c>
      <c r="J16" s="4"/>
      <c r="K16" s="3">
        <v>145</v>
      </c>
      <c r="L16" s="3">
        <v>1950</v>
      </c>
      <c r="N16" s="4">
        <f t="shared" si="3"/>
        <v>1.2293014461041043</v>
      </c>
      <c r="O16" s="4">
        <f t="shared" si="4"/>
        <v>1.2187499999999996</v>
      </c>
      <c r="Q16">
        <v>0.99999999999999811</v>
      </c>
    </row>
    <row r="17" spans="1:17" x14ac:dyDescent="0.3">
      <c r="A17" s="3" t="s">
        <v>30</v>
      </c>
      <c r="B17" s="3">
        <v>22</v>
      </c>
      <c r="C17" s="3">
        <v>610</v>
      </c>
      <c r="D17" s="3">
        <v>88</v>
      </c>
      <c r="E17" s="4">
        <v>0.95642155201626555</v>
      </c>
      <c r="F17" s="4"/>
      <c r="G17" s="5">
        <f t="shared" si="0"/>
        <v>21.041274144357843</v>
      </c>
      <c r="H17" s="5">
        <f t="shared" si="1"/>
        <v>583.41714672992202</v>
      </c>
      <c r="I17" s="5">
        <f t="shared" si="2"/>
        <v>84.16509657743137</v>
      </c>
      <c r="J17" s="4"/>
      <c r="K17" s="3">
        <v>200</v>
      </c>
      <c r="L17" s="3">
        <v>2600</v>
      </c>
      <c r="N17" s="4">
        <f t="shared" si="3"/>
        <v>1.77249863716061</v>
      </c>
      <c r="O17" s="4">
        <f t="shared" si="4"/>
        <v>1.6249999999999996</v>
      </c>
      <c r="Q17">
        <v>1</v>
      </c>
    </row>
    <row r="18" spans="1:17" x14ac:dyDescent="0.3">
      <c r="A18" s="3" t="s">
        <v>31</v>
      </c>
      <c r="B18" s="3">
        <v>16</v>
      </c>
      <c r="C18" s="3">
        <v>440</v>
      </c>
      <c r="D18" s="3">
        <v>60</v>
      </c>
      <c r="E18" s="4">
        <v>0.9786231884057971</v>
      </c>
      <c r="F18" s="4"/>
      <c r="G18" s="5">
        <f t="shared" si="0"/>
        <v>15.657971014492754</v>
      </c>
      <c r="H18" s="5">
        <f t="shared" si="1"/>
        <v>430.59420289855075</v>
      </c>
      <c r="I18" s="5">
        <f t="shared" si="2"/>
        <v>58.717391304347828</v>
      </c>
      <c r="J18" s="4"/>
      <c r="K18" s="3">
        <v>115</v>
      </c>
      <c r="L18" s="3">
        <v>1850</v>
      </c>
      <c r="N18" s="4">
        <f t="shared" si="3"/>
        <v>1.3190138626339218</v>
      </c>
      <c r="O18" s="4">
        <f t="shared" si="4"/>
        <v>1.1562499999999996</v>
      </c>
      <c r="Q18">
        <v>1</v>
      </c>
    </row>
    <row r="19" spans="1:17" x14ac:dyDescent="0.3">
      <c r="A19" s="3" t="s">
        <v>32</v>
      </c>
      <c r="B19" s="3">
        <v>19</v>
      </c>
      <c r="C19" s="3">
        <v>520</v>
      </c>
      <c r="D19" s="3">
        <v>73</v>
      </c>
      <c r="E19" s="4">
        <v>0.99999999999999989</v>
      </c>
      <c r="F19" s="4"/>
      <c r="G19" s="5">
        <f t="shared" si="0"/>
        <v>18.999999999999996</v>
      </c>
      <c r="H19" s="5">
        <f t="shared" si="1"/>
        <v>519.99999999999989</v>
      </c>
      <c r="I19" s="5">
        <f t="shared" si="2"/>
        <v>72.999999999999986</v>
      </c>
      <c r="J19" s="4"/>
      <c r="K19" s="3">
        <v>160</v>
      </c>
      <c r="L19" s="3">
        <v>2300</v>
      </c>
      <c r="N19" s="4">
        <f t="shared" si="3"/>
        <v>1.600543478260896</v>
      </c>
      <c r="O19" s="4">
        <f t="shared" si="4"/>
        <v>1.4374999999999996</v>
      </c>
      <c r="Q19">
        <v>0.99999999999999989</v>
      </c>
    </row>
    <row r="20" spans="1:17" x14ac:dyDescent="0.3">
      <c r="A20" s="3" t="s">
        <v>33</v>
      </c>
      <c r="B20" s="3">
        <v>21</v>
      </c>
      <c r="C20" s="3">
        <v>660</v>
      </c>
      <c r="D20" s="3">
        <v>89</v>
      </c>
      <c r="E20" s="4">
        <v>1.0000000000000002</v>
      </c>
      <c r="F20" s="4"/>
      <c r="G20" s="5">
        <f t="shared" si="0"/>
        <v>21.000000000000004</v>
      </c>
      <c r="H20" s="5">
        <f t="shared" si="1"/>
        <v>660.00000000000011</v>
      </c>
      <c r="I20" s="5">
        <f t="shared" si="2"/>
        <v>89.000000000000014</v>
      </c>
      <c r="J20" s="4"/>
      <c r="K20" s="3">
        <v>215</v>
      </c>
      <c r="L20" s="3">
        <v>2800</v>
      </c>
      <c r="N20" s="4">
        <f t="shared" si="3"/>
        <v>1.7690217391304677</v>
      </c>
      <c r="O20" s="4">
        <f t="shared" si="4"/>
        <v>1.7499999999999993</v>
      </c>
      <c r="Q20">
        <v>1.0000000000000022</v>
      </c>
    </row>
    <row r="21" spans="1:17" x14ac:dyDescent="0.3">
      <c r="A21" s="3" t="s">
        <v>34</v>
      </c>
      <c r="B21" s="3">
        <v>13</v>
      </c>
      <c r="C21" s="3">
        <v>410</v>
      </c>
      <c r="D21" s="3">
        <v>58</v>
      </c>
      <c r="E21" s="4">
        <v>0.88461538461538447</v>
      </c>
      <c r="F21" s="4"/>
      <c r="G21" s="5">
        <f t="shared" si="0"/>
        <v>11.499999999999998</v>
      </c>
      <c r="H21" s="5">
        <f t="shared" si="1"/>
        <v>362.69230769230762</v>
      </c>
      <c r="I21" s="5">
        <f t="shared" si="2"/>
        <v>51.307692307692299</v>
      </c>
      <c r="J21" s="4"/>
      <c r="K21" s="3">
        <v>95</v>
      </c>
      <c r="L21" s="3">
        <v>1550</v>
      </c>
      <c r="N21" s="4">
        <f t="shared" si="3"/>
        <v>0.96875000000001865</v>
      </c>
      <c r="O21" s="4">
        <f t="shared" si="4"/>
        <v>0.96874999999999967</v>
      </c>
      <c r="Q21">
        <v>0.99999999999999978</v>
      </c>
    </row>
    <row r="22" spans="1:17" x14ac:dyDescent="0.3">
      <c r="A22" s="3" t="s">
        <v>35</v>
      </c>
      <c r="B22" s="3">
        <v>24</v>
      </c>
      <c r="C22" s="3">
        <v>720</v>
      </c>
      <c r="D22" s="3">
        <v>105</v>
      </c>
      <c r="E22" s="4">
        <v>0.9347547974413648</v>
      </c>
      <c r="F22" s="4"/>
      <c r="G22" s="5">
        <f t="shared" si="0"/>
        <v>22.434115138592755</v>
      </c>
      <c r="H22" s="5">
        <f t="shared" si="1"/>
        <v>673.02345415778268</v>
      </c>
      <c r="I22" s="5">
        <f t="shared" si="2"/>
        <v>98.149253731343308</v>
      </c>
      <c r="J22" s="4"/>
      <c r="K22" s="3">
        <v>240</v>
      </c>
      <c r="L22" s="3">
        <v>3000</v>
      </c>
      <c r="N22" s="4">
        <f t="shared" si="3"/>
        <v>1.8898303513488823</v>
      </c>
      <c r="O22" s="4">
        <f t="shared" si="4"/>
        <v>1.8749999999999993</v>
      </c>
      <c r="Q22">
        <v>0.99999999999999989</v>
      </c>
    </row>
    <row r="23" spans="1:17" x14ac:dyDescent="0.3">
      <c r="A23" s="3" t="s">
        <v>36</v>
      </c>
      <c r="B23" s="3">
        <v>17</v>
      </c>
      <c r="C23" s="3">
        <v>500</v>
      </c>
      <c r="D23" s="3">
        <v>69</v>
      </c>
      <c r="E23" s="4">
        <v>0.87617739403453687</v>
      </c>
      <c r="F23" s="4"/>
      <c r="G23" s="5">
        <f t="shared" si="0"/>
        <v>14.895015698587127</v>
      </c>
      <c r="H23" s="5">
        <f t="shared" si="1"/>
        <v>438.08869701726843</v>
      </c>
      <c r="I23" s="5">
        <f t="shared" si="2"/>
        <v>60.456240188383042</v>
      </c>
      <c r="J23" s="4"/>
      <c r="K23" s="3">
        <v>120</v>
      </c>
      <c r="L23" s="3">
        <v>1900</v>
      </c>
      <c r="N23" s="4">
        <f t="shared" si="3"/>
        <v>1.2547431702614376</v>
      </c>
      <c r="O23" s="4">
        <f t="shared" si="4"/>
        <v>1.1874999999999996</v>
      </c>
      <c r="Q23">
        <v>1</v>
      </c>
    </row>
    <row r="24" spans="1:17" x14ac:dyDescent="0.3">
      <c r="A24" s="3" t="s">
        <v>37</v>
      </c>
      <c r="B24" s="3">
        <v>15</v>
      </c>
      <c r="C24" s="3">
        <v>430</v>
      </c>
      <c r="D24" s="3">
        <v>61</v>
      </c>
      <c r="E24" s="4">
        <v>0.89370269564893179</v>
      </c>
      <c r="F24" s="4"/>
      <c r="G24" s="5">
        <f t="shared" si="0"/>
        <v>13.405540434733977</v>
      </c>
      <c r="H24" s="5">
        <f t="shared" si="1"/>
        <v>384.29215912904067</v>
      </c>
      <c r="I24" s="5">
        <f t="shared" si="2"/>
        <v>54.515864434584842</v>
      </c>
      <c r="J24" s="4"/>
      <c r="K24" s="3">
        <v>110</v>
      </c>
      <c r="L24" s="3">
        <v>1700</v>
      </c>
      <c r="N24" s="4">
        <f t="shared" si="3"/>
        <v>1.1292710692303278</v>
      </c>
      <c r="O24" s="4">
        <f t="shared" si="4"/>
        <v>1.0624999999999996</v>
      </c>
      <c r="Q24">
        <v>0.99999999999999978</v>
      </c>
    </row>
    <row r="25" spans="1:17" x14ac:dyDescent="0.3">
      <c r="A25" s="3" t="s">
        <v>38</v>
      </c>
      <c r="B25" s="3">
        <v>20</v>
      </c>
      <c r="C25" s="3">
        <v>560</v>
      </c>
      <c r="D25" s="3">
        <v>79</v>
      </c>
      <c r="E25" s="4">
        <v>0.92962025316455688</v>
      </c>
      <c r="F25" s="4"/>
      <c r="G25" s="5">
        <f t="shared" si="0"/>
        <v>18.592405063291139</v>
      </c>
      <c r="H25" s="5">
        <f t="shared" si="1"/>
        <v>520.58734177215183</v>
      </c>
      <c r="I25" s="5">
        <f t="shared" si="2"/>
        <v>73.44</v>
      </c>
      <c r="J25" s="4"/>
      <c r="K25" s="3">
        <v>180</v>
      </c>
      <c r="L25" s="3">
        <v>2150</v>
      </c>
      <c r="N25" s="4">
        <f t="shared" si="3"/>
        <v>1.5662080352229215</v>
      </c>
      <c r="O25" s="4">
        <f t="shared" si="4"/>
        <v>1.3437499999999996</v>
      </c>
      <c r="Q25">
        <v>1.0000000000000786</v>
      </c>
    </row>
    <row r="26" spans="1:17" x14ac:dyDescent="0.3">
      <c r="A26" s="3" t="s">
        <v>39</v>
      </c>
      <c r="B26" s="3">
        <v>14</v>
      </c>
      <c r="C26" s="3">
        <v>450</v>
      </c>
      <c r="D26" s="3">
        <v>63</v>
      </c>
      <c r="E26" s="4">
        <v>0.84792626728110598</v>
      </c>
      <c r="F26" s="4"/>
      <c r="G26" s="5">
        <f t="shared" si="0"/>
        <v>11.870967741935484</v>
      </c>
      <c r="H26" s="5">
        <f t="shared" si="1"/>
        <v>381.56682027649771</v>
      </c>
      <c r="I26" s="5">
        <f t="shared" si="2"/>
        <v>53.41935483870968</v>
      </c>
      <c r="J26" s="4"/>
      <c r="K26" s="3">
        <v>100</v>
      </c>
      <c r="L26" s="3">
        <v>1600</v>
      </c>
      <c r="M26" s="1"/>
      <c r="N26" s="4">
        <f t="shared" si="3"/>
        <v>1.0000000000000195</v>
      </c>
      <c r="O26" s="4">
        <f t="shared" si="4"/>
        <v>0.99999999999999967</v>
      </c>
      <c r="Q26">
        <v>0.99999999999999967</v>
      </c>
    </row>
    <row r="29" spans="1:17" x14ac:dyDescent="0.3">
      <c r="A29" s="3" t="s">
        <v>0</v>
      </c>
      <c r="B29" s="10">
        <v>0</v>
      </c>
      <c r="C29" s="10">
        <v>0</v>
      </c>
      <c r="D29" s="10">
        <v>0</v>
      </c>
      <c r="E29" s="4"/>
      <c r="F29" s="4"/>
      <c r="G29" s="7">
        <v>8.4239130434782553E-2</v>
      </c>
      <c r="H29" s="7">
        <v>0</v>
      </c>
      <c r="I29" s="7">
        <v>3.7903707950093235E-16</v>
      </c>
      <c r="J29" s="4"/>
      <c r="K29" s="12">
        <v>0</v>
      </c>
      <c r="L29" s="12">
        <v>6.249999999999998E-4</v>
      </c>
    </row>
    <row r="32" spans="1:17" x14ac:dyDescent="0.3">
      <c r="A32" s="4" t="s">
        <v>1</v>
      </c>
      <c r="B32" s="4">
        <v>25</v>
      </c>
    </row>
    <row r="33" spans="1:2" x14ac:dyDescent="0.3">
      <c r="A33" s="4" t="s">
        <v>4</v>
      </c>
      <c r="B33" s="8" cm="1">
        <f t="array" ref="B33">INDEX(N2:N26,B32,0)</f>
        <v>1.0000000000000195</v>
      </c>
    </row>
    <row r="34" spans="1:2" x14ac:dyDescent="0.3">
      <c r="A34" s="4" t="s">
        <v>5</v>
      </c>
      <c r="B34" s="8" cm="1">
        <f t="array" ref="B34">INDEX(O2:O26,B32,0)</f>
        <v>0.99999999999999967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A0698-E4E6-43D9-9022-9982DB1CE9E5}">
  <sheetPr codeName="Sheet3"/>
  <dimension ref="A1:L34"/>
  <sheetViews>
    <sheetView zoomScale="59" workbookViewId="0">
      <selection activeCell="A2" sqref="A2"/>
    </sheetView>
  </sheetViews>
  <sheetFormatPr defaultRowHeight="14.4" x14ac:dyDescent="0.3"/>
  <cols>
    <col min="1" max="1" width="23" bestFit="1" customWidth="1"/>
    <col min="2" max="2" width="21.44140625" customWidth="1"/>
    <col min="3" max="3" width="20.88671875" bestFit="1" customWidth="1"/>
    <col min="4" max="4" width="23.21875" bestFit="1" customWidth="1"/>
    <col min="5" max="5" width="9.77734375" customWidth="1"/>
    <col min="6" max="6" width="23" bestFit="1" customWidth="1"/>
    <col min="7" max="7" width="24.5546875" bestFit="1" customWidth="1"/>
    <col min="9" max="9" width="19.21875" bestFit="1" customWidth="1"/>
    <col min="10" max="10" width="19.6640625" bestFit="1" customWidth="1"/>
    <col min="12" max="12" width="12.44140625" bestFit="1" customWidth="1"/>
  </cols>
  <sheetData>
    <row r="1" spans="1:12" ht="31.8" customHeight="1" thickBot="1" x14ac:dyDescent="0.35">
      <c r="A1" s="35" t="s">
        <v>41</v>
      </c>
      <c r="B1" s="35" t="s">
        <v>7</v>
      </c>
      <c r="C1" s="35" t="s">
        <v>8</v>
      </c>
      <c r="D1" s="35" t="s">
        <v>9</v>
      </c>
      <c r="E1" s="36"/>
      <c r="F1" s="35" t="s">
        <v>10</v>
      </c>
      <c r="G1" s="35" t="s">
        <v>11</v>
      </c>
      <c r="H1" s="37"/>
      <c r="I1" s="35" t="s">
        <v>2</v>
      </c>
      <c r="J1" s="35" t="s">
        <v>3</v>
      </c>
      <c r="K1" s="37"/>
      <c r="L1" s="35" t="s">
        <v>6</v>
      </c>
    </row>
    <row r="2" spans="1:12" ht="15" thickBot="1" x14ac:dyDescent="0.35">
      <c r="A2" s="3" t="s">
        <v>15</v>
      </c>
      <c r="B2" s="3">
        <v>15</v>
      </c>
      <c r="C2" s="3">
        <v>500</v>
      </c>
      <c r="D2" s="3">
        <v>75</v>
      </c>
      <c r="E2" s="2"/>
      <c r="F2" s="3">
        <v>120</v>
      </c>
      <c r="G2" s="3">
        <v>1500</v>
      </c>
      <c r="I2" s="4">
        <f>SUMPRODUCT($B$29:$D$29,B2:D2)</f>
        <v>0</v>
      </c>
      <c r="J2" s="4">
        <f>SUMPRODUCT($F$29:$G$29,F2:G2)</f>
        <v>0.93750000000001255</v>
      </c>
      <c r="L2" s="4">
        <v>1.0000000000000049</v>
      </c>
    </row>
    <row r="3" spans="1:12" ht="15" thickBot="1" x14ac:dyDescent="0.35">
      <c r="A3" s="3" t="s">
        <v>16</v>
      </c>
      <c r="B3" s="3">
        <v>20</v>
      </c>
      <c r="C3" s="3">
        <v>650</v>
      </c>
      <c r="D3" s="3">
        <v>95</v>
      </c>
      <c r="E3" s="2"/>
      <c r="F3" s="3">
        <v>200</v>
      </c>
      <c r="G3" s="3">
        <v>2500</v>
      </c>
      <c r="I3" s="4">
        <f t="shared" ref="I3:I26" si="0">SUMPRODUCT($B$29:$D$29,B3:D3)</f>
        <v>0</v>
      </c>
      <c r="J3" s="4">
        <f t="shared" ref="J3:J26" si="1">SUMPRODUCT($F$29:$G$29,F3:G3)</f>
        <v>1.5625000000000209</v>
      </c>
      <c r="L3" s="4">
        <v>1.0000000000000029</v>
      </c>
    </row>
    <row r="4" spans="1:12" ht="15" thickBot="1" x14ac:dyDescent="0.35">
      <c r="A4" s="3" t="s">
        <v>17</v>
      </c>
      <c r="B4" s="3">
        <v>12</v>
      </c>
      <c r="C4" s="3">
        <v>400</v>
      </c>
      <c r="D4" s="3">
        <v>60</v>
      </c>
      <c r="E4" s="2"/>
      <c r="F4" s="3">
        <v>90</v>
      </c>
      <c r="G4" s="3">
        <v>1200</v>
      </c>
      <c r="I4" s="4">
        <f t="shared" si="0"/>
        <v>0</v>
      </c>
      <c r="J4" s="4">
        <f t="shared" si="1"/>
        <v>0.75000000000000999</v>
      </c>
      <c r="L4" s="4">
        <v>1.0000000000000031</v>
      </c>
    </row>
    <row r="5" spans="1:12" ht="15" thickBot="1" x14ac:dyDescent="0.35">
      <c r="A5" s="3" t="s">
        <v>18</v>
      </c>
      <c r="B5" s="3">
        <v>18</v>
      </c>
      <c r="C5" s="3">
        <v>550</v>
      </c>
      <c r="D5" s="3">
        <v>80</v>
      </c>
      <c r="E5" s="2"/>
      <c r="F5" s="3">
        <v>140</v>
      </c>
      <c r="G5" s="3">
        <v>1800</v>
      </c>
      <c r="I5" s="4">
        <f t="shared" si="0"/>
        <v>0</v>
      </c>
      <c r="J5" s="4">
        <f t="shared" si="1"/>
        <v>1.1250000000000151</v>
      </c>
      <c r="L5" s="4">
        <v>1.0000000000000067</v>
      </c>
    </row>
    <row r="6" spans="1:12" ht="15" thickBot="1" x14ac:dyDescent="0.35">
      <c r="A6" s="3" t="s">
        <v>19</v>
      </c>
      <c r="B6" s="3">
        <v>22</v>
      </c>
      <c r="C6" s="3">
        <v>700</v>
      </c>
      <c r="D6" s="3">
        <v>100</v>
      </c>
      <c r="E6" s="2"/>
      <c r="F6" s="3">
        <v>230</v>
      </c>
      <c r="G6" s="3">
        <v>2900</v>
      </c>
      <c r="I6" s="4">
        <f t="shared" si="0"/>
        <v>0</v>
      </c>
      <c r="J6" s="4">
        <f t="shared" si="1"/>
        <v>1.8125000000000242</v>
      </c>
      <c r="L6" s="4">
        <v>0.999999999999999</v>
      </c>
    </row>
    <row r="7" spans="1:12" ht="15" thickBot="1" x14ac:dyDescent="0.35">
      <c r="A7" s="3" t="s">
        <v>20</v>
      </c>
      <c r="B7" s="3">
        <v>17</v>
      </c>
      <c r="C7" s="3">
        <v>450</v>
      </c>
      <c r="D7" s="3">
        <v>65</v>
      </c>
      <c r="E7" s="2"/>
      <c r="F7" s="3">
        <v>110</v>
      </c>
      <c r="G7" s="3">
        <v>1400</v>
      </c>
      <c r="I7" s="4">
        <f t="shared" si="0"/>
        <v>0</v>
      </c>
      <c r="J7" s="4">
        <f t="shared" si="1"/>
        <v>0.87500000000001166</v>
      </c>
      <c r="L7" s="4">
        <v>0.999999999999999</v>
      </c>
    </row>
    <row r="8" spans="1:12" ht="15" thickBot="1" x14ac:dyDescent="0.35">
      <c r="A8" s="3" t="s">
        <v>21</v>
      </c>
      <c r="B8" s="3">
        <v>19</v>
      </c>
      <c r="C8" s="3">
        <v>600</v>
      </c>
      <c r="D8" s="3">
        <v>85</v>
      </c>
      <c r="E8" s="2"/>
      <c r="F8" s="3">
        <v>190</v>
      </c>
      <c r="G8" s="3">
        <v>2400</v>
      </c>
      <c r="I8" s="4">
        <f t="shared" si="0"/>
        <v>0</v>
      </c>
      <c r="J8" s="4">
        <f t="shared" si="1"/>
        <v>1.50000000000002</v>
      </c>
      <c r="L8" s="4">
        <v>1.0000000000000031</v>
      </c>
    </row>
    <row r="9" spans="1:12" ht="15" thickBot="1" x14ac:dyDescent="0.35">
      <c r="A9" s="3" t="s">
        <v>22</v>
      </c>
      <c r="B9" s="3">
        <v>16</v>
      </c>
      <c r="C9" s="3">
        <v>500</v>
      </c>
      <c r="D9" s="3">
        <v>70</v>
      </c>
      <c r="E9" s="2"/>
      <c r="F9" s="3">
        <v>150</v>
      </c>
      <c r="G9" s="3">
        <v>2000</v>
      </c>
      <c r="I9" s="4">
        <f t="shared" si="0"/>
        <v>0</v>
      </c>
      <c r="J9" s="4">
        <f t="shared" si="1"/>
        <v>1.2500000000000167</v>
      </c>
      <c r="L9" s="4">
        <v>1.0000000000000038</v>
      </c>
    </row>
    <row r="10" spans="1:12" ht="15" thickBot="1" x14ac:dyDescent="0.35">
      <c r="A10" s="3" t="s">
        <v>23</v>
      </c>
      <c r="B10" s="3">
        <v>14</v>
      </c>
      <c r="C10" s="3">
        <v>420</v>
      </c>
      <c r="D10" s="3">
        <v>55</v>
      </c>
      <c r="E10" s="2"/>
      <c r="F10" s="3">
        <v>100</v>
      </c>
      <c r="G10" s="3">
        <v>1600</v>
      </c>
      <c r="I10" s="4">
        <f t="shared" si="0"/>
        <v>0</v>
      </c>
      <c r="J10" s="4">
        <f t="shared" si="1"/>
        <v>1.0000000000000133</v>
      </c>
      <c r="L10" s="4">
        <v>1.0000000000000133</v>
      </c>
    </row>
    <row r="11" spans="1:12" ht="15" thickBot="1" x14ac:dyDescent="0.35">
      <c r="A11" s="3" t="s">
        <v>61</v>
      </c>
      <c r="B11" s="3">
        <v>21</v>
      </c>
      <c r="C11" s="3">
        <v>650</v>
      </c>
      <c r="D11" s="3">
        <v>90</v>
      </c>
      <c r="E11" s="2"/>
      <c r="F11" s="3">
        <v>210</v>
      </c>
      <c r="G11" s="3">
        <v>2700</v>
      </c>
      <c r="I11" s="4">
        <f t="shared" si="0"/>
        <v>0</v>
      </c>
      <c r="J11" s="4">
        <f t="shared" si="1"/>
        <v>1.6875000000000226</v>
      </c>
      <c r="L11" s="4">
        <v>0.99999999999999789</v>
      </c>
    </row>
    <row r="12" spans="1:12" ht="15" thickBot="1" x14ac:dyDescent="0.35">
      <c r="A12" s="3" t="s">
        <v>25</v>
      </c>
      <c r="B12" s="3">
        <v>13</v>
      </c>
      <c r="C12" s="3">
        <v>470</v>
      </c>
      <c r="D12" s="3">
        <v>75</v>
      </c>
      <c r="E12" s="2"/>
      <c r="F12" s="3">
        <v>130</v>
      </c>
      <c r="G12" s="3">
        <v>1650</v>
      </c>
      <c r="I12" s="4">
        <f t="shared" si="0"/>
        <v>0</v>
      </c>
      <c r="J12" s="4">
        <f t="shared" si="1"/>
        <v>1.0312500000000138</v>
      </c>
      <c r="L12" s="4">
        <v>1.0000000000000051</v>
      </c>
    </row>
    <row r="13" spans="1:12" ht="15" thickBot="1" x14ac:dyDescent="0.35">
      <c r="A13" s="3" t="s">
        <v>26</v>
      </c>
      <c r="B13" s="3">
        <v>20</v>
      </c>
      <c r="C13" s="3">
        <v>530</v>
      </c>
      <c r="D13" s="3">
        <v>82</v>
      </c>
      <c r="E13" s="2"/>
      <c r="F13" s="3">
        <v>175</v>
      </c>
      <c r="G13" s="3">
        <v>2200</v>
      </c>
      <c r="I13" s="4">
        <f t="shared" si="0"/>
        <v>0</v>
      </c>
      <c r="J13" s="4">
        <f t="shared" si="1"/>
        <v>1.3750000000000184</v>
      </c>
      <c r="L13" s="4">
        <v>1.0000000000000016</v>
      </c>
    </row>
    <row r="14" spans="1:12" ht="15" thickBot="1" x14ac:dyDescent="0.35">
      <c r="A14" s="3" t="s">
        <v>27</v>
      </c>
      <c r="B14" s="3">
        <v>23</v>
      </c>
      <c r="C14" s="3">
        <v>680</v>
      </c>
      <c r="D14" s="3">
        <v>102</v>
      </c>
      <c r="E14" s="2"/>
      <c r="F14" s="3">
        <v>250</v>
      </c>
      <c r="G14" s="3">
        <v>3100</v>
      </c>
      <c r="I14" s="4">
        <f t="shared" si="0"/>
        <v>0</v>
      </c>
      <c r="J14" s="4">
        <f t="shared" si="1"/>
        <v>1.937500000000026</v>
      </c>
      <c r="L14" s="4">
        <v>0.99999999999999767</v>
      </c>
    </row>
    <row r="15" spans="1:12" ht="15" thickBot="1" x14ac:dyDescent="0.35">
      <c r="A15" s="3" t="s">
        <v>28</v>
      </c>
      <c r="B15" s="3">
        <v>15</v>
      </c>
      <c r="C15" s="3">
        <v>490</v>
      </c>
      <c r="D15" s="3">
        <v>68</v>
      </c>
      <c r="E15" s="2"/>
      <c r="F15" s="3">
        <v>105</v>
      </c>
      <c r="G15" s="3">
        <v>1750</v>
      </c>
      <c r="I15" s="4">
        <f t="shared" si="0"/>
        <v>0</v>
      </c>
      <c r="J15" s="4">
        <f t="shared" si="1"/>
        <v>1.0937500000000147</v>
      </c>
      <c r="L15" s="4">
        <v>1.0000000000000016</v>
      </c>
    </row>
    <row r="16" spans="1:12" ht="15" thickBot="1" x14ac:dyDescent="0.35">
      <c r="A16" s="3" t="s">
        <v>29</v>
      </c>
      <c r="B16" s="3">
        <v>18</v>
      </c>
      <c r="C16" s="3">
        <v>570</v>
      </c>
      <c r="D16" s="3">
        <v>77</v>
      </c>
      <c r="E16" s="2"/>
      <c r="F16" s="3">
        <v>145</v>
      </c>
      <c r="G16" s="3">
        <v>1950</v>
      </c>
      <c r="I16" s="4">
        <f t="shared" si="0"/>
        <v>0</v>
      </c>
      <c r="J16" s="4">
        <f t="shared" si="1"/>
        <v>1.2187500000000162</v>
      </c>
      <c r="L16" s="4">
        <v>1.0000000000000018</v>
      </c>
    </row>
    <row r="17" spans="1:12" ht="15" thickBot="1" x14ac:dyDescent="0.35">
      <c r="A17" s="3" t="s">
        <v>30</v>
      </c>
      <c r="B17" s="3">
        <v>22</v>
      </c>
      <c r="C17" s="3">
        <v>610</v>
      </c>
      <c r="D17" s="3">
        <v>88</v>
      </c>
      <c r="E17" s="2"/>
      <c r="F17" s="3">
        <v>200</v>
      </c>
      <c r="G17" s="3">
        <v>2600</v>
      </c>
      <c r="I17" s="4">
        <f t="shared" si="0"/>
        <v>0</v>
      </c>
      <c r="J17" s="4">
        <f t="shared" si="1"/>
        <v>1.6250000000000218</v>
      </c>
      <c r="L17" s="4">
        <v>1.0000000000000016</v>
      </c>
    </row>
    <row r="18" spans="1:12" ht="15" thickBot="1" x14ac:dyDescent="0.35">
      <c r="A18" s="3" t="s">
        <v>31</v>
      </c>
      <c r="B18" s="3">
        <v>16</v>
      </c>
      <c r="C18" s="3">
        <v>440</v>
      </c>
      <c r="D18" s="3">
        <v>60</v>
      </c>
      <c r="E18" s="2"/>
      <c r="F18" s="3">
        <v>115</v>
      </c>
      <c r="G18" s="3">
        <v>1850</v>
      </c>
      <c r="I18" s="4">
        <f t="shared" si="0"/>
        <v>0</v>
      </c>
      <c r="J18" s="4">
        <f t="shared" si="1"/>
        <v>1.1562500000000155</v>
      </c>
      <c r="L18" s="4">
        <v>1.0000000000000129</v>
      </c>
    </row>
    <row r="19" spans="1:12" ht="15" thickBot="1" x14ac:dyDescent="0.35">
      <c r="A19" s="3" t="s">
        <v>32</v>
      </c>
      <c r="B19" s="3">
        <v>19</v>
      </c>
      <c r="C19" s="3">
        <v>520</v>
      </c>
      <c r="D19" s="3">
        <v>73</v>
      </c>
      <c r="E19" s="2"/>
      <c r="F19" s="3">
        <v>160</v>
      </c>
      <c r="G19" s="3">
        <v>2300</v>
      </c>
      <c r="I19" s="4">
        <f t="shared" si="0"/>
        <v>0</v>
      </c>
      <c r="J19" s="4">
        <f t="shared" si="1"/>
        <v>1.4375000000000193</v>
      </c>
      <c r="L19" s="4">
        <v>1.0000000000000004</v>
      </c>
    </row>
    <row r="20" spans="1:12" ht="15" thickBot="1" x14ac:dyDescent="0.35">
      <c r="A20" s="3" t="s">
        <v>33</v>
      </c>
      <c r="B20" s="3">
        <v>21</v>
      </c>
      <c r="C20" s="3">
        <v>660</v>
      </c>
      <c r="D20" s="3">
        <v>89</v>
      </c>
      <c r="E20" s="2"/>
      <c r="F20" s="3">
        <v>215</v>
      </c>
      <c r="G20" s="3">
        <v>2800</v>
      </c>
      <c r="I20" s="4">
        <f t="shared" si="0"/>
        <v>0</v>
      </c>
      <c r="J20" s="4">
        <f t="shared" si="1"/>
        <v>1.7500000000000233</v>
      </c>
      <c r="L20" s="4">
        <v>0.99999999999999734</v>
      </c>
    </row>
    <row r="21" spans="1:12" ht="15" thickBot="1" x14ac:dyDescent="0.35">
      <c r="A21" s="3" t="s">
        <v>34</v>
      </c>
      <c r="B21" s="3">
        <v>13</v>
      </c>
      <c r="C21" s="3">
        <v>410</v>
      </c>
      <c r="D21" s="3">
        <v>58</v>
      </c>
      <c r="E21" s="2"/>
      <c r="F21" s="3">
        <v>95</v>
      </c>
      <c r="G21" s="3">
        <v>1550</v>
      </c>
      <c r="I21" s="4">
        <f t="shared" si="0"/>
        <v>0</v>
      </c>
      <c r="J21" s="4">
        <f t="shared" si="1"/>
        <v>0.96875000000001299</v>
      </c>
      <c r="L21" s="4">
        <v>1.000000000000006</v>
      </c>
    </row>
    <row r="22" spans="1:12" ht="15" thickBot="1" x14ac:dyDescent="0.35">
      <c r="A22" s="3" t="s">
        <v>35</v>
      </c>
      <c r="B22" s="3">
        <v>24</v>
      </c>
      <c r="C22" s="3">
        <v>720</v>
      </c>
      <c r="D22" s="3">
        <v>105</v>
      </c>
      <c r="E22" s="2"/>
      <c r="F22" s="3">
        <v>240</v>
      </c>
      <c r="G22" s="3">
        <v>3000</v>
      </c>
      <c r="I22" s="4">
        <f t="shared" si="0"/>
        <v>0</v>
      </c>
      <c r="J22" s="4">
        <f t="shared" si="1"/>
        <v>1.8750000000000251</v>
      </c>
      <c r="L22" s="4">
        <v>1.0000000000000018</v>
      </c>
    </row>
    <row r="23" spans="1:12" ht="15" thickBot="1" x14ac:dyDescent="0.35">
      <c r="A23" s="3" t="s">
        <v>36</v>
      </c>
      <c r="B23" s="3">
        <v>17</v>
      </c>
      <c r="C23" s="3">
        <v>500</v>
      </c>
      <c r="D23" s="3">
        <v>69</v>
      </c>
      <c r="E23" s="2"/>
      <c r="F23" s="3">
        <v>120</v>
      </c>
      <c r="G23" s="3">
        <v>1900</v>
      </c>
      <c r="I23" s="4">
        <f t="shared" si="0"/>
        <v>0</v>
      </c>
      <c r="J23" s="4">
        <f t="shared" si="1"/>
        <v>1.187500000000016</v>
      </c>
      <c r="L23" s="4">
        <v>1.0000000000000062</v>
      </c>
    </row>
    <row r="24" spans="1:12" ht="15" thickBot="1" x14ac:dyDescent="0.35">
      <c r="A24" s="3" t="s">
        <v>37</v>
      </c>
      <c r="B24" s="3">
        <v>15</v>
      </c>
      <c r="C24" s="3">
        <v>430</v>
      </c>
      <c r="D24" s="3">
        <v>61</v>
      </c>
      <c r="E24" s="2"/>
      <c r="F24" s="3">
        <v>110</v>
      </c>
      <c r="G24" s="3">
        <v>1700</v>
      </c>
      <c r="I24" s="4">
        <f t="shared" si="0"/>
        <v>0</v>
      </c>
      <c r="J24" s="4">
        <f t="shared" si="1"/>
        <v>1.0625000000000142</v>
      </c>
      <c r="L24" s="4">
        <v>1.0000000000000058</v>
      </c>
    </row>
    <row r="25" spans="1:12" ht="15" thickBot="1" x14ac:dyDescent="0.35">
      <c r="A25" s="3" t="s">
        <v>38</v>
      </c>
      <c r="B25" s="3">
        <v>20</v>
      </c>
      <c r="C25" s="3">
        <v>560</v>
      </c>
      <c r="D25" s="3">
        <v>79</v>
      </c>
      <c r="E25" s="2"/>
      <c r="F25" s="3">
        <v>180</v>
      </c>
      <c r="G25" s="3">
        <v>2150</v>
      </c>
      <c r="I25" s="4">
        <f t="shared" si="0"/>
        <v>0</v>
      </c>
      <c r="J25" s="4">
        <f t="shared" si="1"/>
        <v>1.343750000000018</v>
      </c>
      <c r="L25" s="4">
        <v>1.0000000000000036</v>
      </c>
    </row>
    <row r="26" spans="1:12" ht="15" thickBot="1" x14ac:dyDescent="0.35">
      <c r="A26" s="3" t="s">
        <v>39</v>
      </c>
      <c r="B26" s="3">
        <v>14</v>
      </c>
      <c r="C26" s="3">
        <v>450</v>
      </c>
      <c r="D26" s="3">
        <v>63</v>
      </c>
      <c r="E26" s="2"/>
      <c r="F26" s="3">
        <v>100</v>
      </c>
      <c r="G26" s="3">
        <v>1600</v>
      </c>
      <c r="H26" s="1"/>
      <c r="I26" s="4">
        <f t="shared" si="0"/>
        <v>0</v>
      </c>
      <c r="J26" s="4">
        <f t="shared" si="1"/>
        <v>1.0000000000000133</v>
      </c>
      <c r="L26" s="4">
        <v>1.0000000000000133</v>
      </c>
    </row>
    <row r="29" spans="1:12" x14ac:dyDescent="0.3">
      <c r="A29" s="3" t="s">
        <v>0</v>
      </c>
      <c r="B29" s="10">
        <v>0</v>
      </c>
      <c r="C29" s="10">
        <v>0</v>
      </c>
      <c r="D29" s="10">
        <v>0</v>
      </c>
      <c r="E29" s="4"/>
      <c r="F29" s="12">
        <v>0</v>
      </c>
      <c r="G29" s="12">
        <v>6.2500000000000836E-4</v>
      </c>
    </row>
    <row r="32" spans="1:12" x14ac:dyDescent="0.3">
      <c r="A32" s="4" t="s">
        <v>1</v>
      </c>
      <c r="B32" s="4">
        <v>25</v>
      </c>
    </row>
    <row r="33" spans="1:2" x14ac:dyDescent="0.3">
      <c r="A33" s="4" t="s">
        <v>4</v>
      </c>
      <c r="B33" s="13" cm="1">
        <f t="array" ref="B33">INDEX(I2:I26,B32,0)</f>
        <v>0</v>
      </c>
    </row>
    <row r="34" spans="1:2" x14ac:dyDescent="0.3">
      <c r="A34" s="4" t="s">
        <v>5</v>
      </c>
      <c r="B34" s="13" cm="1">
        <f t="array" ref="B34">INDEX(J2:J26,B32,0)</f>
        <v>1.0000000000000133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F624-C740-41DD-A2F5-11CBB13986BB}">
  <sheetPr codeName="Sheet5"/>
  <dimension ref="A1:P36"/>
  <sheetViews>
    <sheetView zoomScale="72" workbookViewId="0">
      <selection activeCell="N5" sqref="N5"/>
    </sheetView>
  </sheetViews>
  <sheetFormatPr defaultRowHeight="14.4" x14ac:dyDescent="0.3"/>
  <cols>
    <col min="1" max="1" width="23" bestFit="1" customWidth="1"/>
    <col min="2" max="2" width="21.44140625" customWidth="1"/>
    <col min="3" max="3" width="20.88671875" bestFit="1" customWidth="1"/>
    <col min="4" max="4" width="23.21875" bestFit="1" customWidth="1"/>
    <col min="5" max="5" width="9.77734375" customWidth="1"/>
    <col min="6" max="6" width="23" bestFit="1" customWidth="1"/>
    <col min="7" max="7" width="24.5546875" bestFit="1" customWidth="1"/>
    <col min="9" max="9" width="15.44140625" customWidth="1"/>
    <col min="10" max="10" width="12.44140625" bestFit="1" customWidth="1"/>
    <col min="11" max="11" width="13.6640625" customWidth="1"/>
  </cols>
  <sheetData>
    <row r="1" spans="1:16" ht="31.8" customHeight="1" thickBot="1" x14ac:dyDescent="0.35">
      <c r="A1" s="35" t="s">
        <v>41</v>
      </c>
      <c r="B1" s="35" t="s">
        <v>7</v>
      </c>
      <c r="C1" s="35" t="s">
        <v>8</v>
      </c>
      <c r="D1" s="35" t="s">
        <v>9</v>
      </c>
      <c r="E1" s="36"/>
      <c r="F1" s="35" t="s">
        <v>10</v>
      </c>
      <c r="G1" s="35" t="s">
        <v>11</v>
      </c>
      <c r="H1" s="37"/>
      <c r="I1" s="38" t="s">
        <v>42</v>
      </c>
      <c r="J1" s="37"/>
      <c r="K1" s="35" t="s">
        <v>55</v>
      </c>
      <c r="L1" s="37"/>
      <c r="M1" s="37"/>
      <c r="N1" s="37"/>
      <c r="O1" s="37" t="s">
        <v>54</v>
      </c>
      <c r="P1" s="37"/>
    </row>
    <row r="2" spans="1:16" ht="15" thickBot="1" x14ac:dyDescent="0.35">
      <c r="A2" s="3" t="s">
        <v>15</v>
      </c>
      <c r="B2" s="3">
        <v>15</v>
      </c>
      <c r="C2" s="3">
        <v>500</v>
      </c>
      <c r="D2" s="3">
        <v>75</v>
      </c>
      <c r="E2" s="2"/>
      <c r="F2" s="3">
        <v>120</v>
      </c>
      <c r="G2" s="3">
        <v>1500</v>
      </c>
      <c r="I2" s="6">
        <v>0</v>
      </c>
      <c r="K2" s="4">
        <v>0.90171277997364951</v>
      </c>
      <c r="O2" s="6">
        <v>0.05</v>
      </c>
    </row>
    <row r="3" spans="1:16" ht="15" thickBot="1" x14ac:dyDescent="0.35">
      <c r="A3" s="3" t="s">
        <v>16</v>
      </c>
      <c r="B3" s="3">
        <v>20</v>
      </c>
      <c r="C3" s="3">
        <v>650</v>
      </c>
      <c r="D3" s="3">
        <v>95</v>
      </c>
      <c r="E3" s="2"/>
      <c r="F3" s="3">
        <v>200</v>
      </c>
      <c r="G3" s="3">
        <v>2500</v>
      </c>
      <c r="I3" s="6">
        <v>0</v>
      </c>
      <c r="K3" s="4">
        <v>0.94710526315789478</v>
      </c>
      <c r="O3" s="6">
        <v>0.05</v>
      </c>
    </row>
    <row r="4" spans="1:16" ht="15" thickBot="1" x14ac:dyDescent="0.35">
      <c r="A4" s="3" t="s">
        <v>17</v>
      </c>
      <c r="B4" s="3">
        <v>12</v>
      </c>
      <c r="C4" s="3">
        <v>400</v>
      </c>
      <c r="D4" s="3">
        <v>60</v>
      </c>
      <c r="E4" s="2"/>
      <c r="F4" s="3">
        <v>90</v>
      </c>
      <c r="G4" s="3">
        <v>1200</v>
      </c>
      <c r="I4" s="6">
        <v>0</v>
      </c>
      <c r="K4" s="4">
        <v>1</v>
      </c>
      <c r="O4" s="6">
        <v>0.05</v>
      </c>
    </row>
    <row r="5" spans="1:16" ht="15" thickBot="1" x14ac:dyDescent="0.35">
      <c r="A5" s="3" t="s">
        <v>18</v>
      </c>
      <c r="B5" s="3">
        <v>18</v>
      </c>
      <c r="C5" s="3">
        <v>550</v>
      </c>
      <c r="D5" s="3">
        <v>80</v>
      </c>
      <c r="E5" s="2"/>
      <c r="F5" s="3">
        <v>140</v>
      </c>
      <c r="G5" s="3">
        <v>1800</v>
      </c>
      <c r="I5" s="6">
        <v>0</v>
      </c>
      <c r="K5" s="4">
        <v>0.87485139098042319</v>
      </c>
      <c r="O5" s="6">
        <v>0.05</v>
      </c>
    </row>
    <row r="6" spans="1:16" ht="15" thickBot="1" x14ac:dyDescent="0.35">
      <c r="A6" s="3" t="s">
        <v>19</v>
      </c>
      <c r="B6" s="3">
        <v>22</v>
      </c>
      <c r="C6" s="3">
        <v>700</v>
      </c>
      <c r="D6" s="3">
        <v>100</v>
      </c>
      <c r="E6" s="2"/>
      <c r="F6" s="3">
        <v>230</v>
      </c>
      <c r="G6" s="3">
        <v>2900</v>
      </c>
      <c r="I6" s="6">
        <v>0</v>
      </c>
      <c r="K6" s="4">
        <v>0.98275862068965514</v>
      </c>
      <c r="O6" s="6">
        <v>0.05</v>
      </c>
    </row>
    <row r="7" spans="1:16" ht="15" thickBot="1" x14ac:dyDescent="0.35">
      <c r="A7" s="3" t="s">
        <v>20</v>
      </c>
      <c r="B7" s="3">
        <v>17</v>
      </c>
      <c r="C7" s="3">
        <v>450</v>
      </c>
      <c r="D7" s="3">
        <v>65</v>
      </c>
      <c r="E7" s="2"/>
      <c r="F7" s="3">
        <v>110</v>
      </c>
      <c r="G7" s="3">
        <v>1400</v>
      </c>
      <c r="I7" s="6">
        <v>0</v>
      </c>
      <c r="K7" s="4">
        <v>0.9555555555555556</v>
      </c>
      <c r="O7" s="6">
        <v>0</v>
      </c>
    </row>
    <row r="8" spans="1:16" ht="15" thickBot="1" x14ac:dyDescent="0.35">
      <c r="A8" s="3" t="s">
        <v>21</v>
      </c>
      <c r="B8" s="3">
        <v>19</v>
      </c>
      <c r="C8" s="3">
        <v>600</v>
      </c>
      <c r="D8" s="3">
        <v>85</v>
      </c>
      <c r="E8" s="2"/>
      <c r="F8" s="3">
        <v>190</v>
      </c>
      <c r="G8" s="3">
        <v>2400</v>
      </c>
      <c r="I8" s="6">
        <v>0</v>
      </c>
      <c r="K8" s="4">
        <v>0.98355076574021549</v>
      </c>
      <c r="O8" s="6">
        <v>0.02</v>
      </c>
    </row>
    <row r="9" spans="1:16" ht="15" thickBot="1" x14ac:dyDescent="0.35">
      <c r="A9" s="3" t="s">
        <v>22</v>
      </c>
      <c r="B9" s="3">
        <v>16</v>
      </c>
      <c r="C9" s="3">
        <v>500</v>
      </c>
      <c r="D9" s="3">
        <v>70</v>
      </c>
      <c r="E9" s="2"/>
      <c r="F9" s="3">
        <v>150</v>
      </c>
      <c r="G9" s="3">
        <v>2000</v>
      </c>
      <c r="I9" s="6">
        <v>0</v>
      </c>
      <c r="K9" s="4">
        <v>1</v>
      </c>
      <c r="O9" s="6">
        <v>0.04</v>
      </c>
    </row>
    <row r="10" spans="1:16" ht="15" thickBot="1" x14ac:dyDescent="0.35">
      <c r="A10" s="3" t="s">
        <v>23</v>
      </c>
      <c r="B10" s="3">
        <v>14</v>
      </c>
      <c r="C10" s="3">
        <v>420</v>
      </c>
      <c r="D10" s="3">
        <v>55</v>
      </c>
      <c r="E10" s="2"/>
      <c r="F10" s="3">
        <v>100</v>
      </c>
      <c r="G10" s="3">
        <v>1600</v>
      </c>
      <c r="I10" s="6">
        <v>0</v>
      </c>
      <c r="K10" s="4">
        <v>1</v>
      </c>
      <c r="O10" s="6">
        <v>0.02</v>
      </c>
    </row>
    <row r="11" spans="1:16" ht="15" thickBot="1" x14ac:dyDescent="0.35">
      <c r="A11" s="3" t="s">
        <v>61</v>
      </c>
      <c r="B11" s="3">
        <v>21</v>
      </c>
      <c r="C11" s="3">
        <v>650</v>
      </c>
      <c r="D11" s="3">
        <v>90</v>
      </c>
      <c r="E11" s="2"/>
      <c r="F11" s="3">
        <v>210</v>
      </c>
      <c r="G11" s="3">
        <v>2700</v>
      </c>
      <c r="I11" s="6">
        <v>0</v>
      </c>
      <c r="K11" s="4">
        <v>0.97809448403272636</v>
      </c>
      <c r="O11" s="6">
        <v>7.0000000000000007E-2</v>
      </c>
    </row>
    <row r="12" spans="1:16" ht="15" thickBot="1" x14ac:dyDescent="0.35">
      <c r="A12" s="3" t="s">
        <v>25</v>
      </c>
      <c r="B12" s="3">
        <v>13</v>
      </c>
      <c r="C12" s="3">
        <v>470</v>
      </c>
      <c r="D12" s="3">
        <v>75</v>
      </c>
      <c r="E12" s="2"/>
      <c r="F12" s="3">
        <v>130</v>
      </c>
      <c r="G12" s="3">
        <v>1650</v>
      </c>
      <c r="I12" s="6">
        <v>4.0229885057471021E-2</v>
      </c>
      <c r="K12" s="4">
        <v>1</v>
      </c>
      <c r="O12" s="6">
        <v>0.12</v>
      </c>
    </row>
    <row r="13" spans="1:16" ht="15" thickBot="1" x14ac:dyDescent="0.35">
      <c r="A13" s="3" t="s">
        <v>26</v>
      </c>
      <c r="B13" s="3">
        <v>20</v>
      </c>
      <c r="C13" s="3">
        <v>530</v>
      </c>
      <c r="D13" s="3">
        <v>82</v>
      </c>
      <c r="E13" s="2"/>
      <c r="F13" s="3">
        <v>175</v>
      </c>
      <c r="G13" s="3">
        <v>2200</v>
      </c>
      <c r="I13" s="6">
        <v>0</v>
      </c>
      <c r="K13" s="4">
        <v>0.99999999999999989</v>
      </c>
      <c r="O13" s="6">
        <v>0.06</v>
      </c>
    </row>
    <row r="14" spans="1:16" ht="15" thickBot="1" x14ac:dyDescent="0.35">
      <c r="A14" s="3" t="s">
        <v>27</v>
      </c>
      <c r="B14" s="3">
        <v>23</v>
      </c>
      <c r="C14" s="3">
        <v>680</v>
      </c>
      <c r="D14" s="3">
        <v>102</v>
      </c>
      <c r="E14" s="2"/>
      <c r="F14" s="3">
        <v>250</v>
      </c>
      <c r="G14" s="3">
        <v>3100</v>
      </c>
      <c r="I14" s="6">
        <v>0</v>
      </c>
      <c r="K14" s="4">
        <v>1</v>
      </c>
      <c r="O14" s="6">
        <v>0</v>
      </c>
    </row>
    <row r="15" spans="1:16" ht="15" thickBot="1" x14ac:dyDescent="0.35">
      <c r="A15" s="3" t="s">
        <v>28</v>
      </c>
      <c r="B15" s="3">
        <v>15</v>
      </c>
      <c r="C15" s="3">
        <v>490</v>
      </c>
      <c r="D15" s="3">
        <v>68</v>
      </c>
      <c r="E15" s="2"/>
      <c r="F15" s="3">
        <v>105</v>
      </c>
      <c r="G15" s="3">
        <v>1750</v>
      </c>
      <c r="I15" s="6">
        <v>0</v>
      </c>
      <c r="K15" s="4">
        <v>0.94765039032603693</v>
      </c>
      <c r="O15" s="6">
        <v>0.05</v>
      </c>
    </row>
    <row r="16" spans="1:16" ht="15" thickBot="1" x14ac:dyDescent="0.35">
      <c r="A16" s="3" t="s">
        <v>29</v>
      </c>
      <c r="B16" s="3">
        <v>18</v>
      </c>
      <c r="C16" s="3">
        <v>570</v>
      </c>
      <c r="D16" s="3">
        <v>77</v>
      </c>
      <c r="E16" s="2"/>
      <c r="F16" s="3">
        <v>145</v>
      </c>
      <c r="G16" s="3">
        <v>1950</v>
      </c>
      <c r="I16" s="6">
        <v>0</v>
      </c>
      <c r="K16" s="4">
        <v>0.88906088751289991</v>
      </c>
      <c r="O16" s="6">
        <v>7.0000000000000007E-2</v>
      </c>
    </row>
    <row r="17" spans="1:15" ht="15" thickBot="1" x14ac:dyDescent="0.35">
      <c r="A17" s="3" t="s">
        <v>30</v>
      </c>
      <c r="B17" s="3">
        <v>22</v>
      </c>
      <c r="C17" s="3">
        <v>610</v>
      </c>
      <c r="D17" s="3">
        <v>88</v>
      </c>
      <c r="E17" s="2"/>
      <c r="F17" s="3">
        <v>200</v>
      </c>
      <c r="G17" s="3">
        <v>2600</v>
      </c>
      <c r="I17" s="6">
        <v>0</v>
      </c>
      <c r="K17" s="4">
        <v>0.97407309087691352</v>
      </c>
      <c r="O17" s="6">
        <v>0.03</v>
      </c>
    </row>
    <row r="18" spans="1:15" ht="15" thickBot="1" x14ac:dyDescent="0.35">
      <c r="A18" s="3" t="s">
        <v>31</v>
      </c>
      <c r="B18" s="3">
        <v>16</v>
      </c>
      <c r="C18" s="3">
        <v>440</v>
      </c>
      <c r="D18" s="3">
        <v>60</v>
      </c>
      <c r="E18" s="2"/>
      <c r="F18" s="3">
        <v>115</v>
      </c>
      <c r="G18" s="3">
        <v>1850</v>
      </c>
      <c r="I18" s="6">
        <v>0</v>
      </c>
      <c r="K18" s="4">
        <v>1</v>
      </c>
      <c r="O18" s="6">
        <v>7.0000000000000007E-2</v>
      </c>
    </row>
    <row r="19" spans="1:15" ht="15" thickBot="1" x14ac:dyDescent="0.35">
      <c r="A19" s="3" t="s">
        <v>32</v>
      </c>
      <c r="B19" s="3">
        <v>19</v>
      </c>
      <c r="C19" s="3">
        <v>520</v>
      </c>
      <c r="D19" s="3">
        <v>73</v>
      </c>
      <c r="E19" s="2"/>
      <c r="F19" s="3">
        <v>160</v>
      </c>
      <c r="G19" s="3">
        <v>2300</v>
      </c>
      <c r="I19" s="6">
        <v>0</v>
      </c>
      <c r="K19" s="4">
        <v>1</v>
      </c>
      <c r="O19" s="6">
        <v>0.05</v>
      </c>
    </row>
    <row r="20" spans="1:15" ht="15" thickBot="1" x14ac:dyDescent="0.35">
      <c r="A20" s="3" t="s">
        <v>33</v>
      </c>
      <c r="B20" s="3">
        <v>21</v>
      </c>
      <c r="C20" s="3">
        <v>660</v>
      </c>
      <c r="D20" s="3">
        <v>89</v>
      </c>
      <c r="E20" s="2"/>
      <c r="F20" s="3">
        <v>215</v>
      </c>
      <c r="G20" s="3">
        <v>2800</v>
      </c>
      <c r="I20" s="6">
        <v>3.6781609195402444E-2</v>
      </c>
      <c r="K20" s="4">
        <v>1</v>
      </c>
      <c r="O20" s="6">
        <v>0.04</v>
      </c>
    </row>
    <row r="21" spans="1:15" ht="15" thickBot="1" x14ac:dyDescent="0.35">
      <c r="A21" s="3" t="s">
        <v>34</v>
      </c>
      <c r="B21" s="3">
        <v>13</v>
      </c>
      <c r="C21" s="3">
        <v>410</v>
      </c>
      <c r="D21" s="3">
        <v>58</v>
      </c>
      <c r="E21" s="2"/>
      <c r="F21" s="3">
        <v>95</v>
      </c>
      <c r="G21" s="3">
        <v>1550</v>
      </c>
      <c r="I21" s="6">
        <v>0.92298850574712632</v>
      </c>
      <c r="K21" s="4">
        <v>0.99999999999999956</v>
      </c>
      <c r="O21" s="6">
        <v>0.1</v>
      </c>
    </row>
    <row r="22" spans="1:15" ht="15" thickBot="1" x14ac:dyDescent="0.35">
      <c r="A22" s="3" t="s">
        <v>35</v>
      </c>
      <c r="B22" s="3">
        <v>24</v>
      </c>
      <c r="C22" s="3">
        <v>720</v>
      </c>
      <c r="D22" s="3">
        <v>105</v>
      </c>
      <c r="E22" s="2"/>
      <c r="F22" s="3">
        <v>240</v>
      </c>
      <c r="G22" s="3">
        <v>3000</v>
      </c>
      <c r="I22" s="6">
        <v>0</v>
      </c>
      <c r="K22" s="4">
        <v>0.93614718614718617</v>
      </c>
      <c r="O22" s="6">
        <v>0.01</v>
      </c>
    </row>
    <row r="23" spans="1:15" ht="15" thickBot="1" x14ac:dyDescent="0.35">
      <c r="A23" s="3" t="s">
        <v>36</v>
      </c>
      <c r="B23" s="3">
        <v>17</v>
      </c>
      <c r="C23" s="3">
        <v>500</v>
      </c>
      <c r="D23" s="3">
        <v>69</v>
      </c>
      <c r="E23" s="2"/>
      <c r="F23" s="3">
        <v>120</v>
      </c>
      <c r="G23" s="3">
        <v>1900</v>
      </c>
      <c r="I23" s="6">
        <v>0</v>
      </c>
      <c r="K23" s="4">
        <v>0.92840095465393802</v>
      </c>
      <c r="O23" s="6">
        <v>0</v>
      </c>
    </row>
    <row r="24" spans="1:15" ht="15" thickBot="1" x14ac:dyDescent="0.35">
      <c r="A24" s="3" t="s">
        <v>37</v>
      </c>
      <c r="B24" s="3">
        <v>15</v>
      </c>
      <c r="C24" s="3">
        <v>430</v>
      </c>
      <c r="D24" s="3">
        <v>61</v>
      </c>
      <c r="E24" s="2"/>
      <c r="F24" s="3">
        <v>110</v>
      </c>
      <c r="G24" s="3">
        <v>1700</v>
      </c>
      <c r="I24" s="6">
        <v>0</v>
      </c>
      <c r="K24" s="4">
        <v>1.0000000000000002</v>
      </c>
      <c r="O24" s="6">
        <v>0</v>
      </c>
    </row>
    <row r="25" spans="1:15" ht="15" thickBot="1" x14ac:dyDescent="0.35">
      <c r="A25" s="3" t="s">
        <v>38</v>
      </c>
      <c r="B25" s="3">
        <v>20</v>
      </c>
      <c r="C25" s="3">
        <v>560</v>
      </c>
      <c r="D25" s="3">
        <v>79</v>
      </c>
      <c r="E25" s="2"/>
      <c r="F25" s="3">
        <v>180</v>
      </c>
      <c r="G25" s="3">
        <v>2150</v>
      </c>
      <c r="I25" s="6">
        <v>0</v>
      </c>
      <c r="K25" s="4">
        <v>0.99999999999999989</v>
      </c>
      <c r="O25" s="6">
        <v>0</v>
      </c>
    </row>
    <row r="26" spans="1:15" ht="15" thickBot="1" x14ac:dyDescent="0.35">
      <c r="A26" s="3" t="s">
        <v>39</v>
      </c>
      <c r="B26" s="3">
        <v>14</v>
      </c>
      <c r="C26" s="3">
        <v>450</v>
      </c>
      <c r="D26" s="3">
        <v>63</v>
      </c>
      <c r="E26" s="2"/>
      <c r="F26" s="3">
        <v>100</v>
      </c>
      <c r="G26" s="3">
        <v>1600</v>
      </c>
      <c r="H26" s="1"/>
      <c r="I26" s="6">
        <v>0</v>
      </c>
      <c r="K26" s="4">
        <v>0.94958949096880141</v>
      </c>
      <c r="O26" s="6">
        <v>0</v>
      </c>
    </row>
    <row r="28" spans="1:15" x14ac:dyDescent="0.3">
      <c r="I28" s="6"/>
    </row>
    <row r="29" spans="1:15" x14ac:dyDescent="0.3">
      <c r="A29" s="1" t="s">
        <v>43</v>
      </c>
      <c r="F29" t="s">
        <v>51</v>
      </c>
      <c r="I29" s="15">
        <f>SUM(I2:I26)</f>
        <v>0.99999999999999978</v>
      </c>
    </row>
    <row r="30" spans="1:15" x14ac:dyDescent="0.3">
      <c r="A30" s="1" t="s">
        <v>44</v>
      </c>
      <c r="B30" s="16">
        <v>25</v>
      </c>
      <c r="F30" s="14">
        <v>0.94958949096880141</v>
      </c>
    </row>
    <row r="31" spans="1:15" x14ac:dyDescent="0.3">
      <c r="A31" s="1" t="s">
        <v>45</v>
      </c>
    </row>
    <row r="32" spans="1:15" x14ac:dyDescent="0.3">
      <c r="A32" s="17" t="s">
        <v>46</v>
      </c>
      <c r="B32" s="18">
        <f>SUMPRODUCT(I2:I26,B2:B26)</f>
        <v>13.294252873563217</v>
      </c>
      <c r="C32" t="s">
        <v>52</v>
      </c>
      <c r="D32" s="16" cm="1">
        <f t="array" ref="D32">F30*INDEX(B2:B26,B30,1)</f>
        <v>13.29425287356322</v>
      </c>
    </row>
    <row r="33" spans="1:4" x14ac:dyDescent="0.3">
      <c r="A33" s="17" t="s">
        <v>47</v>
      </c>
      <c r="B33" s="18">
        <f>SUMPRODUCT($I$2:$I$26,C2:C26)</f>
        <v>421.60919540229878</v>
      </c>
      <c r="C33" t="s">
        <v>52</v>
      </c>
      <c r="D33" s="16" cm="1">
        <f t="array" ref="D33">F30*INDEX(C2:C26,B30,1)</f>
        <v>427.31527093596065</v>
      </c>
    </row>
    <row r="34" spans="1:4" x14ac:dyDescent="0.3">
      <c r="A34" s="17" t="s">
        <v>48</v>
      </c>
      <c r="B34" s="18">
        <f>SUMPRODUCT($I$2:$I$26,D2:D26)</f>
        <v>59.824137931034471</v>
      </c>
      <c r="C34" t="s">
        <v>52</v>
      </c>
      <c r="D34" s="16" cm="1">
        <f t="array" ref="D34">F30*INDEX(D2:D26,B30,1)</f>
        <v>59.824137931034485</v>
      </c>
    </row>
    <row r="35" spans="1:4" x14ac:dyDescent="0.3">
      <c r="A35" s="19" t="s">
        <v>49</v>
      </c>
      <c r="B35" s="20">
        <f>SUMPRODUCT($I$2:$I$26,F2:F26)</f>
        <v>100.82183908045977</v>
      </c>
      <c r="C35" t="s">
        <v>53</v>
      </c>
      <c r="D35" s="21" cm="1">
        <f t="array" ref="D35">INDEX(F2:F26,B30,1)</f>
        <v>100</v>
      </c>
    </row>
    <row r="36" spans="1:4" x14ac:dyDescent="0.3">
      <c r="A36" s="19" t="s">
        <v>50</v>
      </c>
      <c r="B36" s="20">
        <f>SUMPRODUCT($I$2:$I$26,G2:G26)</f>
        <v>1599.9999999999998</v>
      </c>
      <c r="C36" t="s">
        <v>53</v>
      </c>
      <c r="D36" s="21" cm="1">
        <f t="array" ref="D36">INDEX(G2:G26,B30,1)</f>
        <v>1600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5BE67-388C-42DC-BE91-0B89D2EDF263}">
  <sheetPr codeName="Sheet6"/>
  <dimension ref="A1:O36"/>
  <sheetViews>
    <sheetView zoomScale="72" workbookViewId="0">
      <selection activeCell="A2" sqref="A2"/>
    </sheetView>
  </sheetViews>
  <sheetFormatPr defaultRowHeight="14.4" x14ac:dyDescent="0.3"/>
  <cols>
    <col min="1" max="1" width="23" bestFit="1" customWidth="1"/>
    <col min="2" max="2" width="21.44140625" customWidth="1"/>
    <col min="3" max="3" width="20.88671875" bestFit="1" customWidth="1"/>
    <col min="4" max="4" width="23.21875" bestFit="1" customWidth="1"/>
    <col min="5" max="5" width="9.77734375" customWidth="1"/>
    <col min="6" max="6" width="23" bestFit="1" customWidth="1"/>
    <col min="7" max="7" width="24.5546875" bestFit="1" customWidth="1"/>
    <col min="9" max="9" width="15.44140625" customWidth="1"/>
    <col min="10" max="10" width="12.44140625" bestFit="1" customWidth="1"/>
    <col min="11" max="11" width="15.6640625" customWidth="1"/>
  </cols>
  <sheetData>
    <row r="1" spans="1:15" ht="31.8" customHeight="1" thickBot="1" x14ac:dyDescent="0.35">
      <c r="A1" s="35" t="s">
        <v>41</v>
      </c>
      <c r="B1" s="35" t="s">
        <v>7</v>
      </c>
      <c r="C1" s="35" t="s">
        <v>8</v>
      </c>
      <c r="D1" s="35" t="s">
        <v>9</v>
      </c>
      <c r="E1" s="36"/>
      <c r="F1" s="35" t="s">
        <v>10</v>
      </c>
      <c r="G1" s="35" t="s">
        <v>11</v>
      </c>
      <c r="H1" s="37"/>
      <c r="I1" s="38" t="s">
        <v>42</v>
      </c>
      <c r="J1" s="37"/>
      <c r="K1" s="35" t="s">
        <v>55</v>
      </c>
      <c r="L1" s="37"/>
      <c r="M1" s="37"/>
      <c r="N1" s="37"/>
      <c r="O1" s="37" t="s">
        <v>54</v>
      </c>
    </row>
    <row r="2" spans="1:15" ht="15" thickBot="1" x14ac:dyDescent="0.35">
      <c r="A2" s="3" t="s">
        <v>15</v>
      </c>
      <c r="B2" s="3">
        <v>15</v>
      </c>
      <c r="C2" s="3">
        <v>500</v>
      </c>
      <c r="D2" s="3">
        <v>75</v>
      </c>
      <c r="E2" s="2"/>
      <c r="F2" s="3">
        <v>120</v>
      </c>
      <c r="G2" s="3">
        <v>1500</v>
      </c>
      <c r="I2" s="6">
        <v>0</v>
      </c>
      <c r="K2" s="4">
        <v>1.2283715012722647</v>
      </c>
      <c r="O2" s="6">
        <v>0.05</v>
      </c>
    </row>
    <row r="3" spans="1:15" ht="15" thickBot="1" x14ac:dyDescent="0.35">
      <c r="A3" s="3" t="s">
        <v>16</v>
      </c>
      <c r="B3" s="3">
        <v>20</v>
      </c>
      <c r="C3" s="3">
        <v>650</v>
      </c>
      <c r="D3" s="3">
        <v>95</v>
      </c>
      <c r="E3" s="2"/>
      <c r="F3" s="3">
        <v>200</v>
      </c>
      <c r="G3" s="3">
        <v>2500</v>
      </c>
      <c r="I3" s="6">
        <v>0</v>
      </c>
      <c r="K3" s="4">
        <v>1.0659999999999998</v>
      </c>
      <c r="O3" s="6">
        <v>0.05</v>
      </c>
    </row>
    <row r="4" spans="1:15" ht="15" thickBot="1" x14ac:dyDescent="0.35">
      <c r="A4" s="3" t="s">
        <v>17</v>
      </c>
      <c r="B4" s="3">
        <v>12</v>
      </c>
      <c r="C4" s="3">
        <v>400</v>
      </c>
      <c r="D4" s="3">
        <v>60</v>
      </c>
      <c r="E4" s="2"/>
      <c r="F4" s="3">
        <v>90</v>
      </c>
      <c r="G4" s="3">
        <v>1200</v>
      </c>
      <c r="I4" s="6">
        <v>0</v>
      </c>
      <c r="K4" s="4">
        <v>1</v>
      </c>
      <c r="O4" s="6">
        <v>0.05</v>
      </c>
    </row>
    <row r="5" spans="1:15" ht="15" thickBot="1" x14ac:dyDescent="0.35">
      <c r="A5" s="3" t="s">
        <v>18</v>
      </c>
      <c r="B5" s="3">
        <v>18</v>
      </c>
      <c r="C5" s="3">
        <v>550</v>
      </c>
      <c r="D5" s="3">
        <v>80</v>
      </c>
      <c r="E5" s="2"/>
      <c r="F5" s="3">
        <v>140</v>
      </c>
      <c r="G5" s="3">
        <v>1800</v>
      </c>
      <c r="I5" s="6">
        <v>0</v>
      </c>
      <c r="K5" s="4">
        <v>1.2719927328361067</v>
      </c>
      <c r="O5" s="6">
        <v>0.05</v>
      </c>
    </row>
    <row r="6" spans="1:15" ht="15" thickBot="1" x14ac:dyDescent="0.35">
      <c r="A6" s="3" t="s">
        <v>19</v>
      </c>
      <c r="B6" s="3">
        <v>22</v>
      </c>
      <c r="C6" s="3">
        <v>700</v>
      </c>
      <c r="D6" s="3">
        <v>100</v>
      </c>
      <c r="E6" s="2"/>
      <c r="F6" s="3">
        <v>230</v>
      </c>
      <c r="G6" s="3">
        <v>2900</v>
      </c>
      <c r="I6" s="6">
        <v>0</v>
      </c>
      <c r="K6" s="4">
        <v>1.0189655172413792</v>
      </c>
      <c r="O6" s="6">
        <v>0.05</v>
      </c>
    </row>
    <row r="7" spans="1:15" ht="15" thickBot="1" x14ac:dyDescent="0.35">
      <c r="A7" s="3" t="s">
        <v>20</v>
      </c>
      <c r="B7" s="3">
        <v>17</v>
      </c>
      <c r="C7" s="3">
        <v>450</v>
      </c>
      <c r="D7" s="3">
        <v>65</v>
      </c>
      <c r="E7" s="2"/>
      <c r="F7" s="3">
        <v>110</v>
      </c>
      <c r="G7" s="3">
        <v>1400</v>
      </c>
      <c r="I7" s="6">
        <v>0</v>
      </c>
      <c r="K7" s="4">
        <v>1.1173020527859205</v>
      </c>
      <c r="O7" s="6">
        <v>0</v>
      </c>
    </row>
    <row r="8" spans="1:15" ht="15" thickBot="1" x14ac:dyDescent="0.35">
      <c r="A8" s="3" t="s">
        <v>21</v>
      </c>
      <c r="B8" s="3">
        <v>19</v>
      </c>
      <c r="C8" s="3">
        <v>600</v>
      </c>
      <c r="D8" s="3">
        <v>85</v>
      </c>
      <c r="E8" s="2"/>
      <c r="F8" s="3">
        <v>190</v>
      </c>
      <c r="G8" s="3">
        <v>2400</v>
      </c>
      <c r="I8" s="6">
        <v>0</v>
      </c>
      <c r="K8" s="4">
        <v>1.0233025311370025</v>
      </c>
      <c r="O8" s="6">
        <v>0.02</v>
      </c>
    </row>
    <row r="9" spans="1:15" ht="15" thickBot="1" x14ac:dyDescent="0.35">
      <c r="A9" s="3" t="s">
        <v>22</v>
      </c>
      <c r="B9" s="3">
        <v>16</v>
      </c>
      <c r="C9" s="3">
        <v>500</v>
      </c>
      <c r="D9" s="3">
        <v>70</v>
      </c>
      <c r="E9" s="2"/>
      <c r="F9" s="3">
        <v>150</v>
      </c>
      <c r="G9" s="3">
        <v>2000</v>
      </c>
      <c r="I9" s="6">
        <v>0</v>
      </c>
      <c r="K9" s="4">
        <v>0.99999999999999989</v>
      </c>
      <c r="O9" s="6">
        <v>0.04</v>
      </c>
    </row>
    <row r="10" spans="1:15" ht="15" thickBot="1" x14ac:dyDescent="0.35">
      <c r="A10" s="3" t="s">
        <v>23</v>
      </c>
      <c r="B10" s="3">
        <v>14</v>
      </c>
      <c r="C10" s="3">
        <v>420</v>
      </c>
      <c r="D10" s="3">
        <v>55</v>
      </c>
      <c r="E10" s="2"/>
      <c r="F10" s="3">
        <v>100</v>
      </c>
      <c r="G10" s="3">
        <v>1600</v>
      </c>
      <c r="I10" s="6">
        <v>0</v>
      </c>
      <c r="K10" s="4">
        <v>0.999999999999999</v>
      </c>
      <c r="O10" s="6">
        <v>0.02</v>
      </c>
    </row>
    <row r="11" spans="1:15" ht="15" thickBot="1" x14ac:dyDescent="0.35">
      <c r="A11" s="3" t="s">
        <v>61</v>
      </c>
      <c r="B11" s="3">
        <v>21</v>
      </c>
      <c r="C11" s="3">
        <v>650</v>
      </c>
      <c r="D11" s="3">
        <v>90</v>
      </c>
      <c r="E11" s="2"/>
      <c r="F11" s="3">
        <v>210</v>
      </c>
      <c r="G11" s="3">
        <v>2700</v>
      </c>
      <c r="I11" s="6">
        <v>0</v>
      </c>
      <c r="K11" s="4">
        <v>1.0308779761904758</v>
      </c>
      <c r="O11" s="6">
        <v>7.0000000000000007E-2</v>
      </c>
    </row>
    <row r="12" spans="1:15" ht="15" thickBot="1" x14ac:dyDescent="0.35">
      <c r="A12" s="3" t="s">
        <v>25</v>
      </c>
      <c r="B12" s="3">
        <v>13</v>
      </c>
      <c r="C12" s="3">
        <v>470</v>
      </c>
      <c r="D12" s="3">
        <v>75</v>
      </c>
      <c r="E12" s="2"/>
      <c r="F12" s="3">
        <v>130</v>
      </c>
      <c r="G12" s="3">
        <v>1650</v>
      </c>
      <c r="I12" s="6">
        <v>6.6176470588233421E-2</v>
      </c>
      <c r="K12" s="4">
        <v>1.0000000000000002</v>
      </c>
      <c r="O12" s="6">
        <v>0.12</v>
      </c>
    </row>
    <row r="13" spans="1:15" ht="15" thickBot="1" x14ac:dyDescent="0.35">
      <c r="A13" s="3" t="s">
        <v>26</v>
      </c>
      <c r="B13" s="3">
        <v>20</v>
      </c>
      <c r="C13" s="3">
        <v>530</v>
      </c>
      <c r="D13" s="3">
        <v>82</v>
      </c>
      <c r="E13" s="2"/>
      <c r="F13" s="3">
        <v>175</v>
      </c>
      <c r="G13" s="3">
        <v>2200</v>
      </c>
      <c r="I13" s="6">
        <v>0</v>
      </c>
      <c r="K13" s="4">
        <v>1</v>
      </c>
      <c r="O13" s="6">
        <v>0.06</v>
      </c>
    </row>
    <row r="14" spans="1:15" ht="15" thickBot="1" x14ac:dyDescent="0.35">
      <c r="A14" s="3" t="s">
        <v>27</v>
      </c>
      <c r="B14" s="3">
        <v>23</v>
      </c>
      <c r="C14" s="3">
        <v>680</v>
      </c>
      <c r="D14" s="3">
        <v>102</v>
      </c>
      <c r="E14" s="2"/>
      <c r="F14" s="3">
        <v>250</v>
      </c>
      <c r="G14" s="3">
        <v>3100</v>
      </c>
      <c r="I14" s="6">
        <v>0</v>
      </c>
      <c r="K14" s="4">
        <v>1</v>
      </c>
      <c r="O14" s="6">
        <v>0</v>
      </c>
    </row>
    <row r="15" spans="1:15" ht="15" thickBot="1" x14ac:dyDescent="0.35">
      <c r="A15" s="3" t="s">
        <v>28</v>
      </c>
      <c r="B15" s="3">
        <v>15</v>
      </c>
      <c r="C15" s="3">
        <v>490</v>
      </c>
      <c r="D15" s="3">
        <v>68</v>
      </c>
      <c r="E15" s="2"/>
      <c r="F15" s="3">
        <v>105</v>
      </c>
      <c r="G15" s="3">
        <v>1750</v>
      </c>
      <c r="I15" s="6">
        <v>0</v>
      </c>
      <c r="K15" s="4">
        <v>1.0718487394957981</v>
      </c>
      <c r="O15" s="6">
        <v>0.05</v>
      </c>
    </row>
    <row r="16" spans="1:15" ht="15" thickBot="1" x14ac:dyDescent="0.35">
      <c r="A16" s="3" t="s">
        <v>29</v>
      </c>
      <c r="B16" s="3">
        <v>18</v>
      </c>
      <c r="C16" s="3">
        <v>570</v>
      </c>
      <c r="D16" s="3">
        <v>77</v>
      </c>
      <c r="E16" s="2"/>
      <c r="F16" s="3">
        <v>145</v>
      </c>
      <c r="G16" s="3">
        <v>1950</v>
      </c>
      <c r="I16" s="6">
        <v>0</v>
      </c>
      <c r="K16" s="4">
        <v>1.1886753461458981</v>
      </c>
      <c r="O16" s="6">
        <v>7.0000000000000007E-2</v>
      </c>
    </row>
    <row r="17" spans="1:15" ht="15" thickBot="1" x14ac:dyDescent="0.35">
      <c r="A17" s="3" t="s">
        <v>30</v>
      </c>
      <c r="B17" s="3">
        <v>22</v>
      </c>
      <c r="C17" s="3">
        <v>610</v>
      </c>
      <c r="D17" s="3">
        <v>88</v>
      </c>
      <c r="E17" s="2"/>
      <c r="F17" s="3">
        <v>200</v>
      </c>
      <c r="G17" s="3">
        <v>2600</v>
      </c>
      <c r="I17" s="6">
        <v>0</v>
      </c>
      <c r="K17" s="4">
        <v>1.0367720883534135</v>
      </c>
      <c r="O17" s="6">
        <v>0.03</v>
      </c>
    </row>
    <row r="18" spans="1:15" ht="15" thickBot="1" x14ac:dyDescent="0.35">
      <c r="A18" s="3" t="s">
        <v>31</v>
      </c>
      <c r="B18" s="3">
        <v>16</v>
      </c>
      <c r="C18" s="3">
        <v>440</v>
      </c>
      <c r="D18" s="3">
        <v>60</v>
      </c>
      <c r="E18" s="2"/>
      <c r="F18" s="3">
        <v>115</v>
      </c>
      <c r="G18" s="3">
        <v>1850</v>
      </c>
      <c r="I18" s="6">
        <v>0</v>
      </c>
      <c r="K18" s="4">
        <v>0.99999999999999989</v>
      </c>
      <c r="O18" s="6">
        <v>7.0000000000000007E-2</v>
      </c>
    </row>
    <row r="19" spans="1:15" ht="15" thickBot="1" x14ac:dyDescent="0.35">
      <c r="A19" s="3" t="s">
        <v>32</v>
      </c>
      <c r="B19" s="3">
        <v>19</v>
      </c>
      <c r="C19" s="3">
        <v>520</v>
      </c>
      <c r="D19" s="3">
        <v>73</v>
      </c>
      <c r="E19" s="2"/>
      <c r="F19" s="3">
        <v>160</v>
      </c>
      <c r="G19" s="3">
        <v>2300</v>
      </c>
      <c r="I19" s="6">
        <v>0</v>
      </c>
      <c r="K19" s="4">
        <v>0.99999999999999989</v>
      </c>
      <c r="O19" s="6">
        <v>0.05</v>
      </c>
    </row>
    <row r="20" spans="1:15" ht="15" thickBot="1" x14ac:dyDescent="0.35">
      <c r="A20" s="3" t="s">
        <v>33</v>
      </c>
      <c r="B20" s="3">
        <v>21</v>
      </c>
      <c r="C20" s="3">
        <v>660</v>
      </c>
      <c r="D20" s="3">
        <v>89</v>
      </c>
      <c r="E20" s="2"/>
      <c r="F20" s="3">
        <v>215</v>
      </c>
      <c r="G20" s="3">
        <v>2800</v>
      </c>
      <c r="I20" s="6">
        <v>0.1249999999999984</v>
      </c>
      <c r="K20" s="4">
        <v>0.99999999999999978</v>
      </c>
      <c r="O20" s="6">
        <v>0.04</v>
      </c>
    </row>
    <row r="21" spans="1:15" ht="15" thickBot="1" x14ac:dyDescent="0.35">
      <c r="A21" s="3" t="s">
        <v>34</v>
      </c>
      <c r="B21" s="3">
        <v>13</v>
      </c>
      <c r="C21" s="3">
        <v>410</v>
      </c>
      <c r="D21" s="3">
        <v>58</v>
      </c>
      <c r="E21" s="2"/>
      <c r="F21" s="3">
        <v>95</v>
      </c>
      <c r="G21" s="3">
        <v>1550</v>
      </c>
      <c r="I21" s="6">
        <v>0.80882352941176661</v>
      </c>
      <c r="K21" s="4">
        <v>1</v>
      </c>
      <c r="O21" s="6">
        <v>0.1</v>
      </c>
    </row>
    <row r="22" spans="1:15" ht="15" thickBot="1" x14ac:dyDescent="0.35">
      <c r="A22" s="3" t="s">
        <v>35</v>
      </c>
      <c r="B22" s="3">
        <v>24</v>
      </c>
      <c r="C22" s="3">
        <v>720</v>
      </c>
      <c r="D22" s="3">
        <v>105</v>
      </c>
      <c r="E22" s="2"/>
      <c r="F22" s="3">
        <v>240</v>
      </c>
      <c r="G22" s="3">
        <v>3000</v>
      </c>
      <c r="I22" s="6">
        <v>0</v>
      </c>
      <c r="K22" s="4">
        <v>1.0333333333333337</v>
      </c>
      <c r="O22" s="6">
        <v>0.01</v>
      </c>
    </row>
    <row r="23" spans="1:15" ht="15" thickBot="1" x14ac:dyDescent="0.35">
      <c r="A23" s="3" t="s">
        <v>36</v>
      </c>
      <c r="B23" s="3">
        <v>17</v>
      </c>
      <c r="C23" s="3">
        <v>500</v>
      </c>
      <c r="D23" s="3">
        <v>69</v>
      </c>
      <c r="E23" s="2"/>
      <c r="F23" s="3">
        <v>120</v>
      </c>
      <c r="G23" s="3">
        <v>1900</v>
      </c>
      <c r="I23" s="6">
        <v>0</v>
      </c>
      <c r="K23" s="4">
        <v>1.0995134896063674</v>
      </c>
      <c r="O23" s="6">
        <v>0</v>
      </c>
    </row>
    <row r="24" spans="1:15" ht="15" thickBot="1" x14ac:dyDescent="0.35">
      <c r="A24" s="3" t="s">
        <v>37</v>
      </c>
      <c r="B24" s="3">
        <v>15</v>
      </c>
      <c r="C24" s="3">
        <v>430</v>
      </c>
      <c r="D24" s="3">
        <v>61</v>
      </c>
      <c r="E24" s="2"/>
      <c r="F24" s="3">
        <v>110</v>
      </c>
      <c r="G24" s="3">
        <v>1700</v>
      </c>
      <c r="I24" s="6">
        <v>0</v>
      </c>
      <c r="K24" s="4">
        <v>1.0000000000000002</v>
      </c>
      <c r="O24" s="6">
        <v>0</v>
      </c>
    </row>
    <row r="25" spans="1:15" ht="15" thickBot="1" x14ac:dyDescent="0.35">
      <c r="A25" s="3" t="s">
        <v>38</v>
      </c>
      <c r="B25" s="3">
        <v>20</v>
      </c>
      <c r="C25" s="3">
        <v>560</v>
      </c>
      <c r="D25" s="3">
        <v>79</v>
      </c>
      <c r="E25" s="2"/>
      <c r="F25" s="3">
        <v>180</v>
      </c>
      <c r="G25" s="3">
        <v>2150</v>
      </c>
      <c r="I25" s="6">
        <v>0</v>
      </c>
      <c r="K25" s="4">
        <v>1</v>
      </c>
      <c r="O25" s="6">
        <v>0</v>
      </c>
    </row>
    <row r="26" spans="1:15" ht="15" thickBot="1" x14ac:dyDescent="0.35">
      <c r="A26" s="3" t="s">
        <v>39</v>
      </c>
      <c r="B26" s="3">
        <v>14</v>
      </c>
      <c r="C26" s="3">
        <v>450</v>
      </c>
      <c r="D26" s="3">
        <v>63</v>
      </c>
      <c r="E26" s="2"/>
      <c r="F26" s="3">
        <v>100</v>
      </c>
      <c r="G26" s="3">
        <v>1600</v>
      </c>
      <c r="H26" s="1"/>
      <c r="I26" s="6">
        <v>0</v>
      </c>
      <c r="K26" s="4">
        <v>1.0705422794117638</v>
      </c>
      <c r="O26" s="6">
        <v>0</v>
      </c>
    </row>
    <row r="28" spans="1:15" x14ac:dyDescent="0.3">
      <c r="I28" s="6"/>
    </row>
    <row r="29" spans="1:15" x14ac:dyDescent="0.3">
      <c r="A29" s="1" t="s">
        <v>43</v>
      </c>
      <c r="F29" t="s">
        <v>51</v>
      </c>
      <c r="I29" s="23">
        <f>SUM(I2:I26)</f>
        <v>0.99999999999999845</v>
      </c>
    </row>
    <row r="30" spans="1:15" x14ac:dyDescent="0.3">
      <c r="A30" s="1" t="s">
        <v>44</v>
      </c>
      <c r="B30" s="16">
        <v>25</v>
      </c>
      <c r="F30" s="22">
        <v>1.0705422794117638</v>
      </c>
    </row>
    <row r="31" spans="1:15" x14ac:dyDescent="0.3">
      <c r="A31" s="1" t="s">
        <v>45</v>
      </c>
    </row>
    <row r="32" spans="1:15" x14ac:dyDescent="0.3">
      <c r="A32" s="24" t="s">
        <v>46</v>
      </c>
      <c r="B32" s="25">
        <f>SUMPRODUCT(I2:I26,B2:B26)</f>
        <v>13.999999999999966</v>
      </c>
      <c r="C32" t="s">
        <v>52</v>
      </c>
      <c r="D32" s="16" cm="1">
        <f t="array" ref="D32">INDEX(B2:B26,B30,1)</f>
        <v>14</v>
      </c>
    </row>
    <row r="33" spans="1:4" x14ac:dyDescent="0.3">
      <c r="A33" s="24" t="s">
        <v>47</v>
      </c>
      <c r="B33" s="25">
        <f>SUMPRODUCT($I$2:$I$26,C2:C26)</f>
        <v>445.22058823529301</v>
      </c>
      <c r="C33" t="s">
        <v>52</v>
      </c>
      <c r="D33" s="16" cm="1">
        <f t="array" ref="D33">INDEX(C2:C26,B30,1)</f>
        <v>450</v>
      </c>
    </row>
    <row r="34" spans="1:4" x14ac:dyDescent="0.3">
      <c r="A34" s="24" t="s">
        <v>48</v>
      </c>
      <c r="B34" s="25">
        <f>SUMPRODUCT($I$2:$I$26,D2:D26)</f>
        <v>62.999999999999829</v>
      </c>
      <c r="C34" t="s">
        <v>52</v>
      </c>
      <c r="D34" s="16" cm="1">
        <f t="array" ref="D34">INDEX(D2:D26,B30,1)</f>
        <v>63</v>
      </c>
    </row>
    <row r="35" spans="1:4" x14ac:dyDescent="0.3">
      <c r="A35" s="26" t="s">
        <v>49</v>
      </c>
      <c r="B35" s="27">
        <f>SUMPRODUCT($I$2:$I$26,F2:F26)</f>
        <v>112.31617647058782</v>
      </c>
      <c r="C35" t="s">
        <v>53</v>
      </c>
      <c r="D35" s="21" cm="1">
        <f t="array" ref="D35">F30*INDEX(F2:F26,B30,1)</f>
        <v>107.05422794117638</v>
      </c>
    </row>
    <row r="36" spans="1:4" x14ac:dyDescent="0.3">
      <c r="A36" s="26" t="s">
        <v>50</v>
      </c>
      <c r="B36" s="27">
        <f>SUMPRODUCT($I$2:$I$26,G2:G26)</f>
        <v>1712.8676470588189</v>
      </c>
      <c r="C36" t="s">
        <v>53</v>
      </c>
      <c r="D36" s="21" cm="1">
        <f t="array" ref="D36">F30*INDEX(G2:G26,B30,1)</f>
        <v>1712.8676470588221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229CD-9FE2-4A5D-86BD-E7031960FFE3}">
  <sheetPr codeName="Sheet7"/>
  <dimension ref="A1:O37"/>
  <sheetViews>
    <sheetView zoomScale="66" workbookViewId="0">
      <selection activeCell="A5" sqref="A5"/>
    </sheetView>
  </sheetViews>
  <sheetFormatPr defaultRowHeight="14.4" x14ac:dyDescent="0.3"/>
  <cols>
    <col min="1" max="1" width="23" bestFit="1" customWidth="1"/>
    <col min="2" max="2" width="21.44140625" customWidth="1"/>
    <col min="3" max="3" width="20.88671875" bestFit="1" customWidth="1"/>
    <col min="4" max="4" width="23.21875" bestFit="1" customWidth="1"/>
    <col min="5" max="5" width="9.77734375" customWidth="1"/>
    <col min="6" max="6" width="23" bestFit="1" customWidth="1"/>
    <col min="7" max="7" width="24.5546875" bestFit="1" customWidth="1"/>
    <col min="9" max="9" width="15.44140625" customWidth="1"/>
    <col min="10" max="10" width="12.44140625" bestFit="1" customWidth="1"/>
    <col min="11" max="11" width="12.5546875" bestFit="1" customWidth="1"/>
  </cols>
  <sheetData>
    <row r="1" spans="1:15" ht="28.2" thickBot="1" x14ac:dyDescent="0.35">
      <c r="A1" s="35" t="s">
        <v>41</v>
      </c>
      <c r="B1" s="35" t="s">
        <v>7</v>
      </c>
      <c r="C1" s="35" t="s">
        <v>8</v>
      </c>
      <c r="D1" s="35" t="s">
        <v>9</v>
      </c>
      <c r="E1" s="36"/>
      <c r="F1" s="35" t="s">
        <v>10</v>
      </c>
      <c r="G1" s="35" t="s">
        <v>11</v>
      </c>
      <c r="H1" s="37"/>
      <c r="I1" s="38" t="s">
        <v>42</v>
      </c>
      <c r="J1" s="37"/>
      <c r="K1" s="35" t="s">
        <v>60</v>
      </c>
      <c r="L1" s="37"/>
      <c r="M1" s="37"/>
      <c r="N1" s="37"/>
      <c r="O1" s="37" t="s">
        <v>54</v>
      </c>
    </row>
    <row r="2" spans="1:15" ht="15" thickBot="1" x14ac:dyDescent="0.35">
      <c r="A2" s="3" t="s">
        <v>15</v>
      </c>
      <c r="B2" s="3">
        <v>15</v>
      </c>
      <c r="C2" s="3">
        <v>500</v>
      </c>
      <c r="D2" s="3">
        <v>75</v>
      </c>
      <c r="E2" s="2"/>
      <c r="F2" s="3">
        <v>120</v>
      </c>
      <c r="G2" s="3">
        <v>1500</v>
      </c>
      <c r="I2" s="6">
        <v>0</v>
      </c>
      <c r="K2" s="4">
        <v>0.90171277997364951</v>
      </c>
      <c r="O2" s="6">
        <v>0.05</v>
      </c>
    </row>
    <row r="3" spans="1:15" ht="15" thickBot="1" x14ac:dyDescent="0.35">
      <c r="A3" s="3" t="s">
        <v>16</v>
      </c>
      <c r="B3" s="3">
        <v>20</v>
      </c>
      <c r="C3" s="3">
        <v>650</v>
      </c>
      <c r="D3" s="3">
        <v>95</v>
      </c>
      <c r="E3" s="2"/>
      <c r="F3" s="3">
        <v>200</v>
      </c>
      <c r="G3" s="3">
        <v>2500</v>
      </c>
      <c r="I3" s="6">
        <v>0</v>
      </c>
      <c r="K3" s="4">
        <v>0.94710526315789478</v>
      </c>
      <c r="O3" s="6">
        <v>0.05</v>
      </c>
    </row>
    <row r="4" spans="1:15" ht="15" thickBot="1" x14ac:dyDescent="0.35">
      <c r="A4" s="3" t="s">
        <v>17</v>
      </c>
      <c r="B4" s="3">
        <v>12</v>
      </c>
      <c r="C4" s="3">
        <v>400</v>
      </c>
      <c r="D4" s="3">
        <v>60</v>
      </c>
      <c r="E4" s="2"/>
      <c r="F4" s="3">
        <v>90</v>
      </c>
      <c r="G4" s="3">
        <v>1200</v>
      </c>
      <c r="I4" s="6">
        <v>0</v>
      </c>
      <c r="K4" s="4">
        <v>1.0833333333333333</v>
      </c>
      <c r="O4" s="6">
        <v>0.05</v>
      </c>
    </row>
    <row r="5" spans="1:15" ht="15" thickBot="1" x14ac:dyDescent="0.35">
      <c r="A5" s="3" t="s">
        <v>18</v>
      </c>
      <c r="B5" s="3">
        <v>18</v>
      </c>
      <c r="C5" s="3">
        <v>550</v>
      </c>
      <c r="D5" s="3">
        <v>80</v>
      </c>
      <c r="E5" s="2"/>
      <c r="F5" s="3">
        <v>140</v>
      </c>
      <c r="G5" s="3">
        <v>1800</v>
      </c>
      <c r="I5" s="6">
        <v>0</v>
      </c>
      <c r="K5" s="4">
        <v>0.87485139098042319</v>
      </c>
      <c r="O5" s="6">
        <v>0.05</v>
      </c>
    </row>
    <row r="6" spans="1:15" ht="15" thickBot="1" x14ac:dyDescent="0.35">
      <c r="A6" s="3" t="s">
        <v>19</v>
      </c>
      <c r="B6" s="3">
        <v>22</v>
      </c>
      <c r="C6" s="3">
        <v>700</v>
      </c>
      <c r="D6" s="3">
        <v>100</v>
      </c>
      <c r="E6" s="2"/>
      <c r="F6" s="3">
        <v>230</v>
      </c>
      <c r="G6" s="3">
        <v>2900</v>
      </c>
      <c r="I6" s="6">
        <v>0</v>
      </c>
      <c r="K6" s="4">
        <v>0.98275862068965514</v>
      </c>
      <c r="O6" s="6">
        <v>0.05</v>
      </c>
    </row>
    <row r="7" spans="1:15" ht="15" thickBot="1" x14ac:dyDescent="0.35">
      <c r="A7" s="3" t="s">
        <v>20</v>
      </c>
      <c r="B7" s="3">
        <v>17</v>
      </c>
      <c r="C7" s="3">
        <v>450</v>
      </c>
      <c r="D7" s="3">
        <v>65</v>
      </c>
      <c r="E7" s="2"/>
      <c r="F7" s="3">
        <v>110</v>
      </c>
      <c r="G7" s="3">
        <v>1400</v>
      </c>
      <c r="I7" s="6">
        <v>0</v>
      </c>
      <c r="K7" s="4">
        <v>0.9555555555555556</v>
      </c>
      <c r="O7" s="6">
        <v>0</v>
      </c>
    </row>
    <row r="8" spans="1:15" ht="15" thickBot="1" x14ac:dyDescent="0.35">
      <c r="A8" s="3" t="s">
        <v>21</v>
      </c>
      <c r="B8" s="3">
        <v>19</v>
      </c>
      <c r="C8" s="3">
        <v>600</v>
      </c>
      <c r="D8" s="3">
        <v>85</v>
      </c>
      <c r="E8" s="2"/>
      <c r="F8" s="3">
        <v>190</v>
      </c>
      <c r="G8" s="3">
        <v>2400</v>
      </c>
      <c r="I8" s="6">
        <v>0</v>
      </c>
      <c r="K8" s="4">
        <v>0.98355076574021549</v>
      </c>
      <c r="O8" s="6">
        <v>0.02</v>
      </c>
    </row>
    <row r="9" spans="1:15" ht="15" thickBot="1" x14ac:dyDescent="0.35">
      <c r="A9" s="3" t="s">
        <v>22</v>
      </c>
      <c r="B9" s="3">
        <v>16</v>
      </c>
      <c r="C9" s="3">
        <v>500</v>
      </c>
      <c r="D9" s="3">
        <v>70</v>
      </c>
      <c r="E9" s="2"/>
      <c r="F9" s="3">
        <v>150</v>
      </c>
      <c r="G9" s="3">
        <v>2000</v>
      </c>
      <c r="I9" s="6">
        <v>0</v>
      </c>
      <c r="K9" s="4">
        <v>1.0311988463637076</v>
      </c>
      <c r="O9" s="6">
        <v>0.04</v>
      </c>
    </row>
    <row r="10" spans="1:15" ht="15" thickBot="1" x14ac:dyDescent="0.35">
      <c r="A10" s="3" t="s">
        <v>23</v>
      </c>
      <c r="B10" s="3">
        <v>14</v>
      </c>
      <c r="C10" s="3">
        <v>420</v>
      </c>
      <c r="D10" s="3">
        <v>55</v>
      </c>
      <c r="E10" s="2"/>
      <c r="F10" s="3">
        <v>100</v>
      </c>
      <c r="G10" s="3">
        <v>1600</v>
      </c>
      <c r="I10" s="6">
        <v>0</v>
      </c>
      <c r="K10" s="4">
        <v>1.0636363636363633</v>
      </c>
      <c r="O10" s="6">
        <v>0.02</v>
      </c>
    </row>
    <row r="11" spans="1:15" ht="15" thickBot="1" x14ac:dyDescent="0.35">
      <c r="A11" s="3" t="s">
        <v>61</v>
      </c>
      <c r="B11" s="3">
        <v>21</v>
      </c>
      <c r="C11" s="3">
        <v>650</v>
      </c>
      <c r="D11" s="3">
        <v>90</v>
      </c>
      <c r="E11" s="2"/>
      <c r="F11" s="3">
        <v>210</v>
      </c>
      <c r="G11" s="3">
        <v>2700</v>
      </c>
      <c r="I11" s="6">
        <v>0</v>
      </c>
      <c r="K11" s="4">
        <v>0.97809448403272636</v>
      </c>
      <c r="O11" s="6">
        <v>7.0000000000000007E-2</v>
      </c>
    </row>
    <row r="12" spans="1:15" ht="15" thickBot="1" x14ac:dyDescent="0.35">
      <c r="A12" s="3" t="s">
        <v>25</v>
      </c>
      <c r="B12" s="3">
        <v>13</v>
      </c>
      <c r="C12" s="3">
        <v>470</v>
      </c>
      <c r="D12" s="3">
        <v>75</v>
      </c>
      <c r="E12" s="2"/>
      <c r="F12" s="3">
        <v>130</v>
      </c>
      <c r="G12" s="3">
        <v>1650</v>
      </c>
      <c r="I12" s="6">
        <v>4.0229885057471021E-2</v>
      </c>
      <c r="K12" s="4">
        <v>1.1282051282051284</v>
      </c>
      <c r="O12" s="6">
        <v>0.12</v>
      </c>
    </row>
    <row r="13" spans="1:15" ht="15" thickBot="1" x14ac:dyDescent="0.35">
      <c r="A13" s="3" t="s">
        <v>26</v>
      </c>
      <c r="B13" s="3">
        <v>20</v>
      </c>
      <c r="C13" s="3">
        <v>530</v>
      </c>
      <c r="D13" s="3">
        <v>82</v>
      </c>
      <c r="E13" s="2"/>
      <c r="F13" s="3">
        <v>175</v>
      </c>
      <c r="G13" s="3">
        <v>2200</v>
      </c>
      <c r="I13" s="6">
        <v>0</v>
      </c>
      <c r="K13" s="4">
        <v>1.0283018867924529</v>
      </c>
      <c r="O13" s="6">
        <v>0.06</v>
      </c>
    </row>
    <row r="14" spans="1:15" ht="15" thickBot="1" x14ac:dyDescent="0.35">
      <c r="A14" s="3" t="s">
        <v>27</v>
      </c>
      <c r="B14" s="3">
        <v>23</v>
      </c>
      <c r="C14" s="3">
        <v>680</v>
      </c>
      <c r="D14" s="3">
        <v>102</v>
      </c>
      <c r="E14" s="2"/>
      <c r="F14" s="3">
        <v>250</v>
      </c>
      <c r="G14" s="3">
        <v>3100</v>
      </c>
      <c r="I14" s="6">
        <v>0</v>
      </c>
      <c r="K14" s="4" t="s">
        <v>58</v>
      </c>
      <c r="O14" s="6">
        <v>0</v>
      </c>
    </row>
    <row r="15" spans="1:15" ht="15" thickBot="1" x14ac:dyDescent="0.35">
      <c r="A15" s="3" t="s">
        <v>28</v>
      </c>
      <c r="B15" s="3">
        <v>15</v>
      </c>
      <c r="C15" s="3">
        <v>490</v>
      </c>
      <c r="D15" s="3">
        <v>68</v>
      </c>
      <c r="E15" s="2"/>
      <c r="F15" s="3">
        <v>105</v>
      </c>
      <c r="G15" s="3">
        <v>1750</v>
      </c>
      <c r="I15" s="6">
        <v>0</v>
      </c>
      <c r="K15" s="4">
        <v>0.94765039032603693</v>
      </c>
      <c r="O15" s="6">
        <v>0.05</v>
      </c>
    </row>
    <row r="16" spans="1:15" ht="15" thickBot="1" x14ac:dyDescent="0.35">
      <c r="A16" s="3" t="s">
        <v>29</v>
      </c>
      <c r="B16" s="3">
        <v>18</v>
      </c>
      <c r="C16" s="3">
        <v>570</v>
      </c>
      <c r="D16" s="3">
        <v>77</v>
      </c>
      <c r="E16" s="2"/>
      <c r="F16" s="3">
        <v>145</v>
      </c>
      <c r="G16" s="3">
        <v>1950</v>
      </c>
      <c r="I16" s="6">
        <v>0</v>
      </c>
      <c r="K16" s="4">
        <v>0.88906088751289991</v>
      </c>
      <c r="O16" s="6">
        <v>7.0000000000000007E-2</v>
      </c>
    </row>
    <row r="17" spans="1:15" ht="15" thickBot="1" x14ac:dyDescent="0.35">
      <c r="A17" s="3" t="s">
        <v>30</v>
      </c>
      <c r="B17" s="3">
        <v>22</v>
      </c>
      <c r="C17" s="3">
        <v>610</v>
      </c>
      <c r="D17" s="3">
        <v>88</v>
      </c>
      <c r="E17" s="2"/>
      <c r="F17" s="3">
        <v>200</v>
      </c>
      <c r="G17" s="3">
        <v>2600</v>
      </c>
      <c r="I17" s="6">
        <v>0</v>
      </c>
      <c r="K17" s="4">
        <v>0.97407309087691352</v>
      </c>
      <c r="O17" s="6">
        <v>0.03</v>
      </c>
    </row>
    <row r="18" spans="1:15" ht="15" thickBot="1" x14ac:dyDescent="0.35">
      <c r="A18" s="3" t="s">
        <v>31</v>
      </c>
      <c r="B18" s="3">
        <v>16</v>
      </c>
      <c r="C18" s="3">
        <v>440</v>
      </c>
      <c r="D18" s="3">
        <v>60</v>
      </c>
      <c r="E18" s="2"/>
      <c r="F18" s="3">
        <v>115</v>
      </c>
      <c r="G18" s="3">
        <v>1850</v>
      </c>
      <c r="I18" s="6">
        <v>0</v>
      </c>
      <c r="K18" s="4">
        <v>1.0339805825242721</v>
      </c>
      <c r="O18" s="6">
        <v>7.0000000000000007E-2</v>
      </c>
    </row>
    <row r="19" spans="1:15" ht="15" thickBot="1" x14ac:dyDescent="0.35">
      <c r="A19" s="3" t="s">
        <v>32</v>
      </c>
      <c r="B19" s="3">
        <v>19</v>
      </c>
      <c r="C19" s="3">
        <v>520</v>
      </c>
      <c r="D19" s="3">
        <v>73</v>
      </c>
      <c r="E19" s="2"/>
      <c r="F19" s="3">
        <v>160</v>
      </c>
      <c r="G19" s="3">
        <v>2300</v>
      </c>
      <c r="I19" s="6">
        <v>0</v>
      </c>
      <c r="K19" s="4">
        <v>1.0230812535184837</v>
      </c>
      <c r="O19" s="6">
        <v>0.05</v>
      </c>
    </row>
    <row r="20" spans="1:15" ht="15" thickBot="1" x14ac:dyDescent="0.35">
      <c r="A20" s="3" t="s">
        <v>33</v>
      </c>
      <c r="B20" s="3">
        <v>21</v>
      </c>
      <c r="C20" s="3">
        <v>660</v>
      </c>
      <c r="D20" s="3">
        <v>89</v>
      </c>
      <c r="E20" s="2"/>
      <c r="F20" s="3">
        <v>215</v>
      </c>
      <c r="G20" s="3">
        <v>2800</v>
      </c>
      <c r="I20" s="6">
        <v>3.6781609195402444E-2</v>
      </c>
      <c r="K20" s="4">
        <v>1.023876404494382</v>
      </c>
      <c r="O20" s="6">
        <v>0.04</v>
      </c>
    </row>
    <row r="21" spans="1:15" ht="15" thickBot="1" x14ac:dyDescent="0.35">
      <c r="A21" s="3" t="s">
        <v>34</v>
      </c>
      <c r="B21" s="3">
        <v>13</v>
      </c>
      <c r="C21" s="3">
        <v>410</v>
      </c>
      <c r="D21" s="3">
        <v>58</v>
      </c>
      <c r="E21" s="2"/>
      <c r="F21" s="3">
        <v>95</v>
      </c>
      <c r="G21" s="3">
        <v>1550</v>
      </c>
      <c r="I21" s="6">
        <v>0.92298850574712632</v>
      </c>
      <c r="K21" s="4">
        <v>1.0398230088495573</v>
      </c>
      <c r="O21" s="6">
        <v>0.1</v>
      </c>
    </row>
    <row r="22" spans="1:15" ht="15" thickBot="1" x14ac:dyDescent="0.35">
      <c r="A22" s="3" t="s">
        <v>35</v>
      </c>
      <c r="B22" s="3">
        <v>24</v>
      </c>
      <c r="C22" s="3">
        <v>720</v>
      </c>
      <c r="D22" s="3">
        <v>105</v>
      </c>
      <c r="E22" s="2"/>
      <c r="F22" s="3">
        <v>240</v>
      </c>
      <c r="G22" s="3">
        <v>3000</v>
      </c>
      <c r="I22" s="6">
        <v>0</v>
      </c>
      <c r="K22" s="4">
        <v>0.93614718614718617</v>
      </c>
      <c r="O22" s="6">
        <v>0.01</v>
      </c>
    </row>
    <row r="23" spans="1:15" ht="15" thickBot="1" x14ac:dyDescent="0.35">
      <c r="A23" s="3" t="s">
        <v>36</v>
      </c>
      <c r="B23" s="3">
        <v>17</v>
      </c>
      <c r="C23" s="3">
        <v>500</v>
      </c>
      <c r="D23" s="3">
        <v>69</v>
      </c>
      <c r="E23" s="2"/>
      <c r="F23" s="3">
        <v>120</v>
      </c>
      <c r="G23" s="3">
        <v>1900</v>
      </c>
      <c r="I23" s="6">
        <v>0</v>
      </c>
      <c r="K23" s="4">
        <v>0.92840095465393802</v>
      </c>
      <c r="O23" s="6">
        <v>0</v>
      </c>
    </row>
    <row r="24" spans="1:15" ht="15" thickBot="1" x14ac:dyDescent="0.35">
      <c r="A24" s="3" t="s">
        <v>37</v>
      </c>
      <c r="B24" s="3">
        <v>15</v>
      </c>
      <c r="C24" s="3">
        <v>430</v>
      </c>
      <c r="D24" s="3">
        <v>61</v>
      </c>
      <c r="E24" s="2"/>
      <c r="F24" s="3">
        <v>110</v>
      </c>
      <c r="G24" s="3">
        <v>1700</v>
      </c>
      <c r="I24" s="6">
        <v>0</v>
      </c>
      <c r="K24" s="4">
        <v>1.0045228403437356</v>
      </c>
      <c r="O24" s="6">
        <v>0</v>
      </c>
    </row>
    <row r="25" spans="1:15" ht="15" thickBot="1" x14ac:dyDescent="0.35">
      <c r="A25" s="3" t="s">
        <v>38</v>
      </c>
      <c r="B25" s="3">
        <v>20</v>
      </c>
      <c r="C25" s="3">
        <v>560</v>
      </c>
      <c r="D25" s="3">
        <v>79</v>
      </c>
      <c r="E25" s="2"/>
      <c r="F25" s="3">
        <v>180</v>
      </c>
      <c r="G25" s="3">
        <v>2150</v>
      </c>
      <c r="I25" s="6">
        <v>0</v>
      </c>
      <c r="K25" s="4">
        <v>1.0025839793281655</v>
      </c>
      <c r="O25" s="6">
        <v>0</v>
      </c>
    </row>
    <row r="26" spans="1:15" ht="15" thickBot="1" x14ac:dyDescent="0.35">
      <c r="A26" s="3" t="s">
        <v>39</v>
      </c>
      <c r="B26" s="3">
        <v>14</v>
      </c>
      <c r="C26" s="3">
        <v>450</v>
      </c>
      <c r="D26" s="3">
        <v>63</v>
      </c>
      <c r="E26" s="2"/>
      <c r="F26" s="3">
        <v>100</v>
      </c>
      <c r="G26" s="3">
        <v>1600</v>
      </c>
      <c r="H26" s="1"/>
      <c r="I26" s="6">
        <v>0</v>
      </c>
      <c r="K26" s="4">
        <v>0.94958949096880141</v>
      </c>
      <c r="O26" s="6">
        <v>0</v>
      </c>
    </row>
    <row r="28" spans="1:15" x14ac:dyDescent="0.3">
      <c r="I28" s="6"/>
    </row>
    <row r="29" spans="1:15" x14ac:dyDescent="0.3">
      <c r="A29" s="1" t="s">
        <v>43</v>
      </c>
      <c r="F29" t="s">
        <v>51</v>
      </c>
      <c r="I29" s="28">
        <f>SUM(I2:I26)</f>
        <v>0.99999999999999978</v>
      </c>
    </row>
    <row r="30" spans="1:15" x14ac:dyDescent="0.3">
      <c r="A30" s="1" t="s">
        <v>44</v>
      </c>
      <c r="B30" s="16">
        <v>25</v>
      </c>
      <c r="F30" s="34">
        <v>0.94958949096880141</v>
      </c>
    </row>
    <row r="31" spans="1:15" x14ac:dyDescent="0.3">
      <c r="A31" s="1" t="s">
        <v>45</v>
      </c>
    </row>
    <row r="32" spans="1:15" x14ac:dyDescent="0.3">
      <c r="A32" s="24" t="s">
        <v>46</v>
      </c>
      <c r="B32" s="25">
        <f>SUMPRODUCT(I2:I26,B2:B26)</f>
        <v>13.294252873563217</v>
      </c>
      <c r="C32" t="s">
        <v>52</v>
      </c>
      <c r="D32" s="16" cm="1">
        <f t="array" ref="D32">F30*INDEX(B2:B26,B30,1)</f>
        <v>13.29425287356322</v>
      </c>
    </row>
    <row r="33" spans="1:4" x14ac:dyDescent="0.3">
      <c r="A33" s="24" t="s">
        <v>47</v>
      </c>
      <c r="B33" s="25">
        <f>SUMPRODUCT($I$2:$I$26,C2:C26)</f>
        <v>421.60919540229878</v>
      </c>
      <c r="C33" t="s">
        <v>52</v>
      </c>
      <c r="D33" s="16" cm="1">
        <f t="array" ref="D33">F30*INDEX(C2:C26,B30,1)</f>
        <v>427.31527093596065</v>
      </c>
    </row>
    <row r="34" spans="1:4" x14ac:dyDescent="0.3">
      <c r="A34" s="24" t="s">
        <v>48</v>
      </c>
      <c r="B34" s="25">
        <f>SUMPRODUCT($I$2:$I$26,D2:D26)</f>
        <v>59.824137931034471</v>
      </c>
      <c r="C34" t="s">
        <v>52</v>
      </c>
      <c r="D34" s="16" cm="1">
        <f t="array" ref="D34">F30*INDEX(D2:D26,B30,1)</f>
        <v>59.824137931034485</v>
      </c>
    </row>
    <row r="35" spans="1:4" x14ac:dyDescent="0.3">
      <c r="A35" s="29" t="s">
        <v>49</v>
      </c>
      <c r="B35" s="30">
        <f>SUMPRODUCT($I$2:$I$26,F2:F26)</f>
        <v>100.82183908045977</v>
      </c>
      <c r="C35" t="s">
        <v>53</v>
      </c>
      <c r="D35" s="21" cm="1">
        <f t="array" ref="D35">INDEX(F2:F26,B30,1)</f>
        <v>100</v>
      </c>
    </row>
    <row r="36" spans="1:4" x14ac:dyDescent="0.3">
      <c r="A36" s="29" t="s">
        <v>50</v>
      </c>
      <c r="B36" s="30">
        <f>SUMPRODUCT($I$2:$I$26,G2:G26)</f>
        <v>1599.9999999999998</v>
      </c>
      <c r="C36" t="s">
        <v>53</v>
      </c>
      <c r="D36" s="21" cm="1">
        <f t="array" ref="D36">INDEX(G2:G26,B30,1)</f>
        <v>1600</v>
      </c>
    </row>
    <row r="37" spans="1:4" ht="27.6" x14ac:dyDescent="0.3">
      <c r="A37" s="26" t="s">
        <v>56</v>
      </c>
      <c r="B37" s="27" cm="1">
        <f t="array" ref="B37">INDEX(I2:I26,B30,1)</f>
        <v>0</v>
      </c>
      <c r="C37" t="s">
        <v>57</v>
      </c>
      <c r="D37" s="1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6266D-3468-4FFE-834C-71DF64A99F6E}">
  <sheetPr codeName="Sheet8"/>
  <dimension ref="A1:P37"/>
  <sheetViews>
    <sheetView zoomScale="69" workbookViewId="0">
      <selection activeCell="R7" sqref="R7"/>
    </sheetView>
  </sheetViews>
  <sheetFormatPr defaultRowHeight="14.4" x14ac:dyDescent="0.3"/>
  <cols>
    <col min="1" max="1" width="23" bestFit="1" customWidth="1"/>
    <col min="2" max="2" width="22.77734375" customWidth="1"/>
    <col min="3" max="3" width="20.88671875" bestFit="1" customWidth="1"/>
    <col min="4" max="4" width="23.21875" bestFit="1" customWidth="1"/>
    <col min="5" max="5" width="9.77734375" customWidth="1"/>
    <col min="6" max="6" width="23" bestFit="1" customWidth="1"/>
    <col min="7" max="7" width="24.5546875" bestFit="1" customWidth="1"/>
    <col min="9" max="9" width="15.44140625" customWidth="1"/>
    <col min="10" max="10" width="12.44140625" bestFit="1" customWidth="1"/>
    <col min="11" max="11" width="16.88671875" customWidth="1"/>
  </cols>
  <sheetData>
    <row r="1" spans="1:16" ht="31.8" customHeight="1" thickBot="1" x14ac:dyDescent="0.35">
      <c r="A1" s="35" t="s">
        <v>41</v>
      </c>
      <c r="B1" s="35" t="s">
        <v>7</v>
      </c>
      <c r="C1" s="35" t="s">
        <v>8</v>
      </c>
      <c r="D1" s="35" t="s">
        <v>9</v>
      </c>
      <c r="E1" s="36"/>
      <c r="F1" s="35" t="s">
        <v>10</v>
      </c>
      <c r="G1" s="35" t="s">
        <v>11</v>
      </c>
      <c r="H1" s="37"/>
      <c r="I1" s="38" t="s">
        <v>42</v>
      </c>
      <c r="J1" s="37"/>
      <c r="K1" s="35" t="s">
        <v>60</v>
      </c>
      <c r="L1" s="37"/>
      <c r="M1" s="37"/>
      <c r="N1" s="37"/>
      <c r="O1" s="37" t="s">
        <v>54</v>
      </c>
      <c r="P1" s="37"/>
    </row>
    <row r="2" spans="1:16" ht="15" thickBot="1" x14ac:dyDescent="0.35">
      <c r="A2" s="3" t="s">
        <v>15</v>
      </c>
      <c r="B2" s="3">
        <v>15</v>
      </c>
      <c r="C2" s="3">
        <v>500</v>
      </c>
      <c r="D2" s="3">
        <v>75</v>
      </c>
      <c r="E2" s="2"/>
      <c r="F2" s="3">
        <v>120</v>
      </c>
      <c r="G2" s="3">
        <v>1500</v>
      </c>
      <c r="I2" s="6">
        <v>0</v>
      </c>
      <c r="K2" s="4">
        <v>1.2283715012722645</v>
      </c>
      <c r="O2" s="6">
        <v>0.05</v>
      </c>
    </row>
    <row r="3" spans="1:16" ht="15" thickBot="1" x14ac:dyDescent="0.35">
      <c r="A3" s="3" t="s">
        <v>16</v>
      </c>
      <c r="B3" s="3">
        <v>20</v>
      </c>
      <c r="C3" s="3">
        <v>650</v>
      </c>
      <c r="D3" s="3">
        <v>95</v>
      </c>
      <c r="E3" s="2"/>
      <c r="F3" s="3">
        <v>200</v>
      </c>
      <c r="G3" s="3">
        <v>2500</v>
      </c>
      <c r="I3" s="6">
        <v>0</v>
      </c>
      <c r="K3" s="4">
        <v>1.0659999999999998</v>
      </c>
      <c r="O3" s="6">
        <v>0.05</v>
      </c>
    </row>
    <row r="4" spans="1:16" ht="15" thickBot="1" x14ac:dyDescent="0.35">
      <c r="A4" s="3" t="s">
        <v>17</v>
      </c>
      <c r="B4" s="3">
        <v>12</v>
      </c>
      <c r="C4" s="3">
        <v>400</v>
      </c>
      <c r="D4" s="3">
        <v>60</v>
      </c>
      <c r="E4" s="2"/>
      <c r="F4" s="3">
        <v>90</v>
      </c>
      <c r="G4" s="3">
        <v>1200</v>
      </c>
      <c r="I4" s="6">
        <v>0</v>
      </c>
      <c r="K4" s="4" t="s">
        <v>58</v>
      </c>
      <c r="O4" s="6">
        <v>0.05</v>
      </c>
    </row>
    <row r="5" spans="1:16" ht="15" thickBot="1" x14ac:dyDescent="0.35">
      <c r="A5" s="3" t="s">
        <v>18</v>
      </c>
      <c r="B5" s="3">
        <v>18</v>
      </c>
      <c r="C5" s="3">
        <v>550</v>
      </c>
      <c r="D5" s="3">
        <v>80</v>
      </c>
      <c r="E5" s="2"/>
      <c r="F5" s="3">
        <v>140</v>
      </c>
      <c r="G5" s="3">
        <v>1800</v>
      </c>
      <c r="I5" s="6">
        <v>0</v>
      </c>
      <c r="K5" s="4">
        <v>1.2719927328361067</v>
      </c>
      <c r="O5" s="6">
        <v>0.05</v>
      </c>
    </row>
    <row r="6" spans="1:16" ht="15" thickBot="1" x14ac:dyDescent="0.35">
      <c r="A6" s="3" t="s">
        <v>19</v>
      </c>
      <c r="B6" s="3">
        <v>22</v>
      </c>
      <c r="C6" s="3">
        <v>700</v>
      </c>
      <c r="D6" s="3">
        <v>100</v>
      </c>
      <c r="E6" s="2"/>
      <c r="F6" s="3">
        <v>230</v>
      </c>
      <c r="G6" s="3">
        <v>2900</v>
      </c>
      <c r="I6" s="6">
        <v>0</v>
      </c>
      <c r="K6" s="4">
        <v>1.0189655172413792</v>
      </c>
      <c r="O6" s="6">
        <v>0.05</v>
      </c>
    </row>
    <row r="7" spans="1:16" ht="15" thickBot="1" x14ac:dyDescent="0.35">
      <c r="A7" s="3" t="s">
        <v>20</v>
      </c>
      <c r="B7" s="3">
        <v>17</v>
      </c>
      <c r="C7" s="3">
        <v>450</v>
      </c>
      <c r="D7" s="3">
        <v>65</v>
      </c>
      <c r="E7" s="2"/>
      <c r="F7" s="3">
        <v>110</v>
      </c>
      <c r="G7" s="3">
        <v>1400</v>
      </c>
      <c r="I7" s="6">
        <v>0</v>
      </c>
      <c r="K7" s="4">
        <v>1.1173020527859241</v>
      </c>
      <c r="O7" s="6">
        <v>0</v>
      </c>
    </row>
    <row r="8" spans="1:16" ht="15" thickBot="1" x14ac:dyDescent="0.35">
      <c r="A8" s="3" t="s">
        <v>21</v>
      </c>
      <c r="B8" s="3">
        <v>19</v>
      </c>
      <c r="C8" s="3">
        <v>600</v>
      </c>
      <c r="D8" s="3">
        <v>85</v>
      </c>
      <c r="E8" s="2"/>
      <c r="F8" s="3">
        <v>190</v>
      </c>
      <c r="G8" s="3">
        <v>2400</v>
      </c>
      <c r="I8" s="6">
        <v>0</v>
      </c>
      <c r="K8" s="4">
        <v>1.0233025311370028</v>
      </c>
      <c r="O8" s="6">
        <v>0.02</v>
      </c>
    </row>
    <row r="9" spans="1:16" ht="15" thickBot="1" x14ac:dyDescent="0.35">
      <c r="A9" s="3" t="s">
        <v>22</v>
      </c>
      <c r="B9" s="3">
        <v>16</v>
      </c>
      <c r="C9" s="3">
        <v>500</v>
      </c>
      <c r="D9" s="3">
        <v>70</v>
      </c>
      <c r="E9" s="2"/>
      <c r="F9" s="3">
        <v>150</v>
      </c>
      <c r="G9" s="3">
        <v>2000</v>
      </c>
      <c r="I9" s="6">
        <v>0</v>
      </c>
      <c r="K9" s="4">
        <v>0.94863650946422862</v>
      </c>
      <c r="O9" s="6">
        <v>0.04</v>
      </c>
    </row>
    <row r="10" spans="1:16" ht="15" thickBot="1" x14ac:dyDescent="0.35">
      <c r="A10" s="3" t="s">
        <v>23</v>
      </c>
      <c r="B10" s="3">
        <v>14</v>
      </c>
      <c r="C10" s="3">
        <v>420</v>
      </c>
      <c r="D10" s="3">
        <v>55</v>
      </c>
      <c r="E10" s="2"/>
      <c r="F10" s="3">
        <v>100</v>
      </c>
      <c r="G10" s="3">
        <v>1600</v>
      </c>
      <c r="I10" s="6">
        <v>0</v>
      </c>
      <c r="K10" s="4" t="s">
        <v>58</v>
      </c>
      <c r="O10" s="6">
        <v>0.02</v>
      </c>
    </row>
    <row r="11" spans="1:16" ht="15" thickBot="1" x14ac:dyDescent="0.35">
      <c r="A11" s="3" t="s">
        <v>61</v>
      </c>
      <c r="B11" s="3">
        <v>21</v>
      </c>
      <c r="C11" s="3">
        <v>650</v>
      </c>
      <c r="D11" s="3">
        <v>90</v>
      </c>
      <c r="E11" s="2"/>
      <c r="F11" s="3">
        <v>210</v>
      </c>
      <c r="G11" s="3">
        <v>2700</v>
      </c>
      <c r="I11" s="6">
        <v>0</v>
      </c>
      <c r="K11" s="4">
        <v>1.0308779761904763</v>
      </c>
      <c r="O11" s="6">
        <v>7.0000000000000007E-2</v>
      </c>
    </row>
    <row r="12" spans="1:16" ht="15" thickBot="1" x14ac:dyDescent="0.35">
      <c r="A12" s="3" t="s">
        <v>25</v>
      </c>
      <c r="B12" s="3">
        <v>13</v>
      </c>
      <c r="C12" s="3">
        <v>470</v>
      </c>
      <c r="D12" s="3">
        <v>75</v>
      </c>
      <c r="E12" s="2"/>
      <c r="F12" s="3">
        <v>130</v>
      </c>
      <c r="G12" s="3">
        <v>1650</v>
      </c>
      <c r="I12" s="6">
        <v>6.6176470588235004E-2</v>
      </c>
      <c r="K12" s="4">
        <v>0.80769230769230771</v>
      </c>
      <c r="O12" s="6">
        <v>0.12</v>
      </c>
    </row>
    <row r="13" spans="1:16" ht="15" thickBot="1" x14ac:dyDescent="0.35">
      <c r="A13" s="3" t="s">
        <v>26</v>
      </c>
      <c r="B13" s="3">
        <v>20</v>
      </c>
      <c r="C13" s="3">
        <v>530</v>
      </c>
      <c r="D13" s="3">
        <v>82</v>
      </c>
      <c r="E13" s="2"/>
      <c r="F13" s="3">
        <v>175</v>
      </c>
      <c r="G13" s="3">
        <v>2200</v>
      </c>
      <c r="I13" s="6">
        <v>0</v>
      </c>
      <c r="K13" s="4">
        <v>0.95238095238095266</v>
      </c>
      <c r="O13" s="6">
        <v>0.06</v>
      </c>
    </row>
    <row r="14" spans="1:16" ht="15" thickBot="1" x14ac:dyDescent="0.35">
      <c r="A14" s="3" t="s">
        <v>27</v>
      </c>
      <c r="B14" s="3">
        <v>23</v>
      </c>
      <c r="C14" s="3">
        <v>680</v>
      </c>
      <c r="D14" s="3">
        <v>102</v>
      </c>
      <c r="E14" s="2"/>
      <c r="F14" s="3">
        <v>250</v>
      </c>
      <c r="G14" s="3">
        <v>3100</v>
      </c>
      <c r="I14" s="6">
        <v>0</v>
      </c>
      <c r="K14" s="4">
        <v>0.90400000000000014</v>
      </c>
      <c r="O14" s="6">
        <v>0</v>
      </c>
    </row>
    <row r="15" spans="1:16" ht="15" thickBot="1" x14ac:dyDescent="0.35">
      <c r="A15" s="3" t="s">
        <v>28</v>
      </c>
      <c r="B15" s="3">
        <v>15</v>
      </c>
      <c r="C15" s="3">
        <v>490</v>
      </c>
      <c r="D15" s="3">
        <v>68</v>
      </c>
      <c r="E15" s="2"/>
      <c r="F15" s="3">
        <v>105</v>
      </c>
      <c r="G15" s="3">
        <v>1750</v>
      </c>
      <c r="I15" s="6">
        <v>0</v>
      </c>
      <c r="K15" s="4">
        <v>1.0718487394957996</v>
      </c>
      <c r="O15" s="6">
        <v>0.05</v>
      </c>
    </row>
    <row r="16" spans="1:16" ht="15" thickBot="1" x14ac:dyDescent="0.35">
      <c r="A16" s="3" t="s">
        <v>29</v>
      </c>
      <c r="B16" s="3">
        <v>18</v>
      </c>
      <c r="C16" s="3">
        <v>570</v>
      </c>
      <c r="D16" s="3">
        <v>77</v>
      </c>
      <c r="E16" s="2"/>
      <c r="F16" s="3">
        <v>145</v>
      </c>
      <c r="G16" s="3">
        <v>1950</v>
      </c>
      <c r="I16" s="6">
        <v>0</v>
      </c>
      <c r="K16" s="4">
        <v>1.1886753461458981</v>
      </c>
      <c r="O16" s="6">
        <v>7.0000000000000007E-2</v>
      </c>
    </row>
    <row r="17" spans="1:15" ht="15" thickBot="1" x14ac:dyDescent="0.35">
      <c r="A17" s="3" t="s">
        <v>30</v>
      </c>
      <c r="B17" s="3">
        <v>22</v>
      </c>
      <c r="C17" s="3">
        <v>610</v>
      </c>
      <c r="D17" s="3">
        <v>88</v>
      </c>
      <c r="E17" s="2"/>
      <c r="F17" s="3">
        <v>200</v>
      </c>
      <c r="G17" s="3">
        <v>2600</v>
      </c>
      <c r="I17" s="6">
        <v>0</v>
      </c>
      <c r="K17" s="4">
        <v>1.0367720883534137</v>
      </c>
      <c r="O17" s="6">
        <v>0.03</v>
      </c>
    </row>
    <row r="18" spans="1:15" ht="15" thickBot="1" x14ac:dyDescent="0.35">
      <c r="A18" s="3" t="s">
        <v>31</v>
      </c>
      <c r="B18" s="3">
        <v>16</v>
      </c>
      <c r="C18" s="3">
        <v>440</v>
      </c>
      <c r="D18" s="3">
        <v>60</v>
      </c>
      <c r="E18" s="2"/>
      <c r="F18" s="3">
        <v>115</v>
      </c>
      <c r="G18" s="3">
        <v>1850</v>
      </c>
      <c r="I18" s="6">
        <v>0</v>
      </c>
      <c r="K18" s="4">
        <v>0.94594594594594583</v>
      </c>
      <c r="O18" s="6">
        <v>7.0000000000000007E-2</v>
      </c>
    </row>
    <row r="19" spans="1:15" ht="15" thickBot="1" x14ac:dyDescent="0.35">
      <c r="A19" s="3" t="s">
        <v>32</v>
      </c>
      <c r="B19" s="3">
        <v>19</v>
      </c>
      <c r="C19" s="3">
        <v>520</v>
      </c>
      <c r="D19" s="3">
        <v>73</v>
      </c>
      <c r="E19" s="2"/>
      <c r="F19" s="3">
        <v>160</v>
      </c>
      <c r="G19" s="3">
        <v>2300</v>
      </c>
      <c r="I19" s="6">
        <v>0</v>
      </c>
      <c r="K19" s="4">
        <v>0.97654462242562912</v>
      </c>
      <c r="O19" s="6">
        <v>0.05</v>
      </c>
    </row>
    <row r="20" spans="1:15" ht="15" thickBot="1" x14ac:dyDescent="0.35">
      <c r="A20" s="3" t="s">
        <v>33</v>
      </c>
      <c r="B20" s="3">
        <v>21</v>
      </c>
      <c r="C20" s="3">
        <v>660</v>
      </c>
      <c r="D20" s="3">
        <v>89</v>
      </c>
      <c r="E20" s="2"/>
      <c r="F20" s="3">
        <v>215</v>
      </c>
      <c r="G20" s="3">
        <v>2800</v>
      </c>
      <c r="I20" s="6">
        <v>0.12499999999999981</v>
      </c>
      <c r="K20" s="4">
        <v>0.97316219369894985</v>
      </c>
      <c r="O20" s="6">
        <v>0.04</v>
      </c>
    </row>
    <row r="21" spans="1:15" ht="15" thickBot="1" x14ac:dyDescent="0.35">
      <c r="A21" s="3" t="s">
        <v>34</v>
      </c>
      <c r="B21" s="3">
        <v>13</v>
      </c>
      <c r="C21" s="3">
        <v>410</v>
      </c>
      <c r="D21" s="3">
        <v>58</v>
      </c>
      <c r="E21" s="2"/>
      <c r="F21" s="3">
        <v>95</v>
      </c>
      <c r="G21" s="3">
        <v>1550</v>
      </c>
      <c r="I21" s="6">
        <v>0.80882352941176516</v>
      </c>
      <c r="K21" s="4">
        <v>0.90322580645161288</v>
      </c>
      <c r="O21" s="6">
        <v>0.1</v>
      </c>
    </row>
    <row r="22" spans="1:15" ht="15" thickBot="1" x14ac:dyDescent="0.35">
      <c r="A22" s="3" t="s">
        <v>35</v>
      </c>
      <c r="B22" s="3">
        <v>24</v>
      </c>
      <c r="C22" s="3">
        <v>720</v>
      </c>
      <c r="D22" s="3">
        <v>105</v>
      </c>
      <c r="E22" s="2"/>
      <c r="F22" s="3">
        <v>240</v>
      </c>
      <c r="G22" s="3">
        <v>3000</v>
      </c>
      <c r="I22" s="6">
        <v>0</v>
      </c>
      <c r="K22" s="4">
        <v>1.0333333333333337</v>
      </c>
      <c r="O22" s="6">
        <v>0.01</v>
      </c>
    </row>
    <row r="23" spans="1:15" ht="15" thickBot="1" x14ac:dyDescent="0.35">
      <c r="A23" s="3" t="s">
        <v>36</v>
      </c>
      <c r="B23" s="3">
        <v>17</v>
      </c>
      <c r="C23" s="3">
        <v>500</v>
      </c>
      <c r="D23" s="3">
        <v>69</v>
      </c>
      <c r="E23" s="2"/>
      <c r="F23" s="3">
        <v>120</v>
      </c>
      <c r="G23" s="3">
        <v>1900</v>
      </c>
      <c r="I23" s="6">
        <v>0</v>
      </c>
      <c r="K23" s="4">
        <v>1.0995134896063687</v>
      </c>
      <c r="O23" s="6">
        <v>0</v>
      </c>
    </row>
    <row r="24" spans="1:15" ht="15" thickBot="1" x14ac:dyDescent="0.35">
      <c r="A24" s="3" t="s">
        <v>37</v>
      </c>
      <c r="B24" s="3">
        <v>15</v>
      </c>
      <c r="C24" s="3">
        <v>430</v>
      </c>
      <c r="D24" s="3">
        <v>61</v>
      </c>
      <c r="E24" s="2"/>
      <c r="F24" s="3">
        <v>110</v>
      </c>
      <c r="G24" s="3">
        <v>1700</v>
      </c>
      <c r="I24" s="6">
        <v>0</v>
      </c>
      <c r="K24" s="4">
        <v>0.9888349514563114</v>
      </c>
      <c r="O24" s="6">
        <v>0</v>
      </c>
    </row>
    <row r="25" spans="1:15" ht="15" thickBot="1" x14ac:dyDescent="0.35">
      <c r="A25" s="3" t="s">
        <v>38</v>
      </c>
      <c r="B25" s="3">
        <v>20</v>
      </c>
      <c r="C25" s="3">
        <v>560</v>
      </c>
      <c r="D25" s="3">
        <v>79</v>
      </c>
      <c r="E25" s="2"/>
      <c r="F25" s="3">
        <v>180</v>
      </c>
      <c r="G25" s="3">
        <v>2150</v>
      </c>
      <c r="I25" s="6">
        <v>0</v>
      </c>
      <c r="K25" s="4">
        <v>0.99629629629629579</v>
      </c>
      <c r="O25" s="6">
        <v>0</v>
      </c>
    </row>
    <row r="26" spans="1:15" ht="15" thickBot="1" x14ac:dyDescent="0.35">
      <c r="A26" s="3" t="s">
        <v>39</v>
      </c>
      <c r="B26" s="3">
        <v>14</v>
      </c>
      <c r="C26" s="3">
        <v>450</v>
      </c>
      <c r="D26" s="3">
        <v>63</v>
      </c>
      <c r="E26" s="2"/>
      <c r="F26" s="3">
        <v>100</v>
      </c>
      <c r="G26" s="3">
        <v>1600</v>
      </c>
      <c r="H26" s="1"/>
      <c r="I26" s="6">
        <v>0</v>
      </c>
      <c r="K26" s="4">
        <v>1.0705422794117647</v>
      </c>
      <c r="O26" s="6">
        <v>0</v>
      </c>
    </row>
    <row r="28" spans="1:15" x14ac:dyDescent="0.3">
      <c r="I28" s="6"/>
    </row>
    <row r="29" spans="1:15" x14ac:dyDescent="0.3">
      <c r="A29" s="1" t="s">
        <v>43</v>
      </c>
      <c r="F29" t="s">
        <v>51</v>
      </c>
      <c r="I29" s="15">
        <f>SUM(I2:I26)</f>
        <v>1</v>
      </c>
    </row>
    <row r="30" spans="1:15" x14ac:dyDescent="0.3">
      <c r="A30" s="1" t="s">
        <v>44</v>
      </c>
      <c r="B30" s="16">
        <v>25</v>
      </c>
      <c r="F30" s="31">
        <v>1.0705422794117647</v>
      </c>
    </row>
    <row r="31" spans="1:15" x14ac:dyDescent="0.3">
      <c r="A31" s="1" t="s">
        <v>45</v>
      </c>
    </row>
    <row r="32" spans="1:15" x14ac:dyDescent="0.3">
      <c r="A32" s="24" t="s">
        <v>46</v>
      </c>
      <c r="B32" s="25">
        <f>SUMPRODUCT(I2:I26,B2:B26)</f>
        <v>13.999999999999998</v>
      </c>
      <c r="C32" t="s">
        <v>52</v>
      </c>
      <c r="D32" s="16" cm="1">
        <f t="array" ref="D32">INDEX(B2:B26,B30,1)</f>
        <v>14</v>
      </c>
    </row>
    <row r="33" spans="1:4" x14ac:dyDescent="0.3">
      <c r="A33" s="24" t="s">
        <v>47</v>
      </c>
      <c r="B33" s="25">
        <f>SUMPRODUCT($I$2:$I$26,C2:C26)</f>
        <v>445.22058823529403</v>
      </c>
      <c r="C33" t="s">
        <v>52</v>
      </c>
      <c r="D33" s="16" cm="1">
        <f t="array" ref="D33">INDEX(C2:C26,B30,1)</f>
        <v>450</v>
      </c>
    </row>
    <row r="34" spans="1:4" x14ac:dyDescent="0.3">
      <c r="A34" s="24" t="s">
        <v>48</v>
      </c>
      <c r="B34" s="25">
        <f>SUMPRODUCT($I$2:$I$26,D2:D26)</f>
        <v>62.999999999999986</v>
      </c>
      <c r="C34" t="s">
        <v>52</v>
      </c>
      <c r="D34" s="16" cm="1">
        <f t="array" ref="D34">INDEX(D2:D26,B30,1)</f>
        <v>63</v>
      </c>
    </row>
    <row r="35" spans="1:4" x14ac:dyDescent="0.3">
      <c r="A35" s="32" t="s">
        <v>49</v>
      </c>
      <c r="B35" s="33">
        <f>SUMPRODUCT($I$2:$I$26,F2:F26)</f>
        <v>112.3161764705882</v>
      </c>
      <c r="C35" t="s">
        <v>53</v>
      </c>
      <c r="D35" s="21" cm="1">
        <f t="array" ref="D35">F30*INDEX(F2:F26,B30,1)</f>
        <v>107.05422794117648</v>
      </c>
    </row>
    <row r="36" spans="1:4" x14ac:dyDescent="0.3">
      <c r="A36" s="32" t="s">
        <v>50</v>
      </c>
      <c r="B36" s="33">
        <f>SUMPRODUCT($I$2:$I$26,G2:G26)</f>
        <v>1712.8676470588232</v>
      </c>
      <c r="C36" t="s">
        <v>53</v>
      </c>
      <c r="D36" s="21" cm="1">
        <f t="array" ref="D36">F30*INDEX(G2:G26,B30,1)</f>
        <v>1712.8676470588236</v>
      </c>
    </row>
    <row r="37" spans="1:4" ht="27.6" x14ac:dyDescent="0.3">
      <c r="A37" s="24" t="s">
        <v>59</v>
      </c>
      <c r="B37" s="25" cm="1">
        <f t="array" ref="B37">INDEX(I2:I26,B30,1)</f>
        <v>0</v>
      </c>
      <c r="C37" t="s">
        <v>57</v>
      </c>
      <c r="D37" s="1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Multiplier Input Oriented</vt:lpstr>
      <vt:lpstr>Multiplier Input Oriented Impro</vt:lpstr>
      <vt:lpstr>Multiplier - Output Oriented</vt:lpstr>
      <vt:lpstr>Envelopment Input Model Oriente</vt:lpstr>
      <vt:lpstr>Envelpoment Output Model Orient</vt:lpstr>
      <vt:lpstr>Super Efficiency Input Oriented</vt:lpstr>
      <vt:lpstr>Super Efficiency Output Oriente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patidar</dc:creator>
  <cp:lastModifiedBy>Patidar, Vishal</cp:lastModifiedBy>
  <dcterms:created xsi:type="dcterms:W3CDTF">2024-04-20T18:11:22Z</dcterms:created>
  <dcterms:modified xsi:type="dcterms:W3CDTF">2024-04-21T23:30:23Z</dcterms:modified>
</cp:coreProperties>
</file>